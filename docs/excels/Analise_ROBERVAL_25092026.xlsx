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067D4CD-418E-48D4-9EBF-EC589E03BD69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<sst xmlns="http://schemas.openxmlformats.org/spreadsheetml/2006/main" count="891" uniqueCount="620">
  <si>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</si>
  <si>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</si>
  <si>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</si>
  <si>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</si>
  <si>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</si>
  <si>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</si>
  <si>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</si>
  <si>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</si>
  <si>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</si>
  <si>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</si>
  <si>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</si>
  <si>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</si>
  <si>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</si>
  <si>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</si>
  <si>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</si>
  <si>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</si>
  <si>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</si>
  <si>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</si>
  <si>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</si>
  <si>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</si>
  <si>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</si>
  <si>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</si>
  <si>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</si>
  <si>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</si>
  <si>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</si>
  <si>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</si>
  <si>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</si>
  <si>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</si>
  <si>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</si>
  <si>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</si>
  <si>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</si>
  <si>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</si>
  <si>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</si>
  <si>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</si>
  <si>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</si>
  <si>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</si>
  <si>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</si>
  <si>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</si>
  <si>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</si>
  <si>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</si>
  <si>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</si>
  <si>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</si>
  <si>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</si>
  <si>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</si>
  <si>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</si>
  <si>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</si>
  <si>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</si>
  <si>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</si>
  <si>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</si>
  <si>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</si>
  <si>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</si>
  <si>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</si>
  <si>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</si>
  <si>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</si>
  <si>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</si>
  <si>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</si>
  <si>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</si>
  <si>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</si>
  <si>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</si>
  <si>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</si>
  <si>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</si>
  <si>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</si>
  <si>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</si>
  <si>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</si>
  <si>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</si>
  <si>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</si>
  <si>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</si>
  <si>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</si>
  <si>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</si>
  <si>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</si>
  <si>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</si>
  <si>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</si>
  <si>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</si>
  <si>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</si>
  <si>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</si>
  <si>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</si>
  <si>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</si>
  <si>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</si>
  <si>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</si>
  <si>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</si>
  <si>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</si>
  <si>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</si>
  <si>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</si>
  <si>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</si>
  <si>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</si>
  <si>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</si>
  <si>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</si>
  <si>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</si>
  <si>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</si>
  <si>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</si>
  <si>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</si>
  <si>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</si>
  <si>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</si>
  <si>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</si>
  <si>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</si>
  <si>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</si>
  <si>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</si>
  <si>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</si>
  <si>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</si>
  <si>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</si>
  <si>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</si>
  <si>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</si>
  <si>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</si>
  <si>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</si>
  <si>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</si>
  <si>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</si>
  <si>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</si>
  <si>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</si>
  <si>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</si>
  <si>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</si>
  <si>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</si>
  <si>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</si>
  <si>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</si>
  <si>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</si>
  <si>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</si>
  <si>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</si>
  <si>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</si>
  <si>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</si>
  <si>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</si>
  <si>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</si>
  <si>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</si>
  <si>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</si>
  <si>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</si>
  <si>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</si>
  <si>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</si>
  <si>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</si>
  <si>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</si>
  <si>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</si>
  <si>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</si>
  <si>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</si>
  <si>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</si>
  <si>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</si>
  <si>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</si>
  <si>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</si>
  <si>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</si>
  <si>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</si>
  <si>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</si>
  <si>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</si>
  <si>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</si>
  <si>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</si>
  <si>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</si>
  <si>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</si>
  <si>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</si>
  <si>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</si>
  <si>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</si>
  <si>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</si>
  <si>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</si>
  <si>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</si>
  <si>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</si>
  <si>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</si>
  <si>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</si>
  <si>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</si>
  <si>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</si>
  <si>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</si>
  <si>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</si>
  <si>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</si>
  <si>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</si>
  <si>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</si>
  <si>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</si>
  <si>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</si>
  <si>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</si>
  <si>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</si>
  <si>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</si>
  <si>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</si>
  <si>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</si>
  <si>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</si>
  <si>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</si>
  <si>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</si>
  <si>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</si>
  <si>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</si>
  <si>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</si>
  <si>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</si>
  <si>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</si>
  <si>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</si>
  <si>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</si>
  <si>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</si>
  <si>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</si>
  <si>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</si>
  <si>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</si>
  <si>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</si>
  <si>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</si>
  <si>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</si>
  <si>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</si>
  <si>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</si>
  <si>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</si>
  <si>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</si>
  <si>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</si>
  <si>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</si>
  <si>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</si>
  <si>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</si>
  <si>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</si>
  <si>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</si>
  <si>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</si>
  <si>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</si>
  <si>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</si>
  <si>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</si>
  <si>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</si>
  <si>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</si>
  <si>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</si>
  <si>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</si>
  <si>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</si>
  <si>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</si>
  <si>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</si>
  <si>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</si>
  <si>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</si>
  <si>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</si>
  <si>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</si>
  <si>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</si>
  <si>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</si>
  <si>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</si>
  <si>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</si>
  <si>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</si>
  <si>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</si>
  <si>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</si>
  <si>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</si>
  <si>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</si>
  <si>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</si>
  <si>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</si>
  <si>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</si>
  <si>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</si>
  <si>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</si>
  <si>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</si>
  <si>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</si>
  <si>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</si>
  <si>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</si>
  <si>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</si>
  <si>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</si>
  <si>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</si>
  <si>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</si>
  <si>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</si>
  <si>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</si>
  <si>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</si>
  <si>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</si>
  <si>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</si>
  <si>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</si>
  <si>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</si>
  <si>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</si>
  <si>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</si>
  <si>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</si>
  <si>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</si>
  <si>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</si>
  <si>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</si>
  <si>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</si>
  <si>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</si>
  <si>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</si>
  <si>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</si>
  <si>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</si>
  <si>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</si>
  <si>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</si>
  <si>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</si>
  <si>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</si>
  <si>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</si>
  <si>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</si>
  <si>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</si>
  <si>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</si>
  <si>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</si>
  <si>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</si>
  <si>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</si>
  <si>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</si>
  <si>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</si>
  <si>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</si>
  <si>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</si>
  <si>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</si>
  <si>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</si>
  <si>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</si>
  <si>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</si>
  <si>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</si>
  <si>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</si>
  <si>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</si>
  <si>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</si>
  <si>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</si>
  <si>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</si>
  <si>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</si>
  <si>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</si>
  <si>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</si>
  <si>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</si>
  <si>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</si>
  <si>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</si>
  <si>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</si>
  <si>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</si>
  <si>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</si>
  <si>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</si>
  <si>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</si>
  <si>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</si>
  <si>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</si>
  <si>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</si>
  <si>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</si>
  <si>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</si>
  <si>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</si>
  <si>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</si>
  <si>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</si>
  <si>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</si>
  <si>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</si>
  <si>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</si>
  <si>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</si>
  <si>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</si>
  <si>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</si>
  <si>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</si>
  <si>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</si>
  <si>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</si>
  <si>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</si>
  <si>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</si>
  <si>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</si>
  <si>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</si>
  <si>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</si>
  <si>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</si>
  <si>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</si>
  <si>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</si>
  <si>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</si>
  <si>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</si>
  <si>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</si>
  <si>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</si>
  <si>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</si>
  <si>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</si>
  <si>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</si>
  <si>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</si>
  <si>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</si>
  <si>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</si>
  <si>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</si>
  <si>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</si>
  <si>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</si>
  <si>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</si>
  <si>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</si>
  <si>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</si>
  <si>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</si>
  <si>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</si>
  <si>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</si>
  <si>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</si>
  <si>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</si>
  <si>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</si>
  <si>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</si>
  <si>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</si>
  <si>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</si>
  <si>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</si>
  <si>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</si>
  <si>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</si>
  <si>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</si>
  <si>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</si>
  <si>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</si>
  <si>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</si>
  <si>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</si>
  <si>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</si>
  <si>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</si>
  <si>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</si>
  <si>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</si>
  <si>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</si>
  <si>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</si>
  <si>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</si>
  <si>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</si>
  <si>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</si>
  <si>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</si>
  <si>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</si>
  <si>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</si>
  <si>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</si>
  <si>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</si>
  <si>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</si>
  <si>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</si>
  <si>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</si>
  <si>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</si>
  <si>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</si>
  <si>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</si>
  <si>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</si>
  <si>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</si>
  <si>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</si>
  <si>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</si>
  <si>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</si>
  <si>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</si>
  <si>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</si>
  <si>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</si>
  <si>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</si>
  <si>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</si>
  <si>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</si>
  <si>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</si>
  <si>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</si>
  <si>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</si>
  <si>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</si>
  <si>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</si>
  <si>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</si>
  <si>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</si>
  <si>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</si>
  <si>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</si>
  <si>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</si>
  <si>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</si>
  <si>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</si>
  <si>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</si>
  <si>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</si>
  <si>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</si>
  <si>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</si>
  <si>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</si>
  <si>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</si>
  <si>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</si>
  <si>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</si>
  <si>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</si>
  <si>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</si>
  <si>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</si>
  <si>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</si>
  <si>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</si>
  <si>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</si>
  <si>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</si>
  <si>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</si>
  <si>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</si>
  <si>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</si>
  <si>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</si>
  <si>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</si>
  <si>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</si>
  <si>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</si>
  <si>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</si>
  <si>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</si>
  <si>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</si>
  <si>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</si>
  <si>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</si>
  <si>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</si>
  <si>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</si>
  <si>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</si>
  <si>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</si>
  <si>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</si>
  <si>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</si>
  <si>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</si>
  <si>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</si>
  <si>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</si>
  <si>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</si>
  <si>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</si>
  <si>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</si>
  <si>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</si>
  <si>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</si>
  <si>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</si>
  <si>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</si>
  <si>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</si>
  <si>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</si>
  <si>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</si>
  <si>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</si>
  <si>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</si>
  <si>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</si>
  <si>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</si>
  <si>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</si>
  <si>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</si>
  <si>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</si>
  <si>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</si>
  <si>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</si>
  <si>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</si>
  <si>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</si>
  <si>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</si>
  <si>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</si>
  <si>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</si>
  <si>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</si>
  <si>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</si>
  <si>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</si>
  <si>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</si>
  <si>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</si>
  <si>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</si>
  <si>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</si>
  <si>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</si>
  <si>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</si>
  <si>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</si>
  <si>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</si>
  <si>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</si>
  <si>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</si>
  <si>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</si>
  <si>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</si>
  <si>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</si>
  <si>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</si>
  <si>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</si>
  <si>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</si>
  <si>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</si>
  <si>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</si>
  <si>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</si>
  <si>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</si>
  <si>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</si>
  <si>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</si>
  <si>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</si>
  <si>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</si>
  <si>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</si>
  <si>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</si>
  <si>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</si>
  <si>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</si>
  <si>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</si>
  <si>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</si>
  <si>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</si>
  <si>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</si>
  <si>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</si>
  <si>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</si>
  <si>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</si>
  <si>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</si>
  <si>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</si>
  <si>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</si>
  <si>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</si>
  <si>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</si>
  <si>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</si>
  <si>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</si>
  <si>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</si>
  <si>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</si>
  <si>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</si>
  <si>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</si>
  <si>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</si>
  <si>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</si>
  <si>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</si>
  <si>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</si>
  <si>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</si>
  <si>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</si>
  <si>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</si>
  <si>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</si>
  <si>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</si>
  <si>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</si>
  <si>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</si>
  <si>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</si>
  <si>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</si>
  <si>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</si>
  <si>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</si>
  <si>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</si>
  <si>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</si>
  <si>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</si>
  <si>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</si>
  <si>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</si>
  <si>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</si>
  <si>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</si>
  <si>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</si>
  <si>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</si>
  <si>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</si>
  <si>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</si>
  <si>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</si>
  <si>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</si>
  <si>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</si>
  <si>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</si>
  <si>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</si>
  <si>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</si>
  <si>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</si>
  <si>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</si>
  <si>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</si>
  <si>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</si>
  <si>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</si>
  <si>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</si>
  <si>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</si>
  <si>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</si>
  <si>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</si>
  <si>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</si>
  <si>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</si>
  <si>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</si>
  <si>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</si>
  <si>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</si>
  <si>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</si>
  <si>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</si>
  <si>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</si>
  <si>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</si>
  <si>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</si>
  <si>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</si>
  <si>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</si>
  <si>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</si>
  <si>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</si>
  <si>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</si>
  <si>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</si>
  <si>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</si>
  <si>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</si>
  <si>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</si>
  <si>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</si>
  <si>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</si>
  <si>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</si>
  <si>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</si>
  <si>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</si>
  <si>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</si>
  <si>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</si>
  <si>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</si>
  <si>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</si>
  <si>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</si>
  <si>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</si>
  <si>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</si>
  <si>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</si>
  <si>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</si>
  <si>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</si>
  <si>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</si>
  <si>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</si>
  <si>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</si>
  <si>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</si>
  <si>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</si>
  <si>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</si>
  <si>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</si>
  <si>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</si>
  <si>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</si>
  <si>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</si>
  <si>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</si>
  <si>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</si>
  <si>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</si>
  <si>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</si>
  <si>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</si>
  <si>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</si>
  <si>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</si>
  <si>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</si>
  <si>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</si>
  <si>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</si>
  <si>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</si>
  <si>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</si>
  <si>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</si>
  <si>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</si>
  <si>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</si>
  <si>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</si>
  <si>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</si>
  <si>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</si>
  <si>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</si>
  <si>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</si>
  <si>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</si>
  <si>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</si>
  <si>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</si>
  <si>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</si>
  <si>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</si>
  <si>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</si>
  <si>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</si>
  <si>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</si>
  <si>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</si>
  <si>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</si>
  <si>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</si>
  <si>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MATRIZ</t>
  </si>
  <si>
    <t>203865-1</t>
  </si>
  <si>
    <t>FORTE TRANSPORT</t>
  </si>
  <si>
    <t>MURILO PEREIRA</t>
  </si>
  <si>
    <t>SUBCONTRATO_PER</t>
  </si>
  <si>
    <t>CTE NORMAL</t>
  </si>
  <si>
    <t>ITAJAI - SC</t>
  </si>
  <si>
    <t>N/D</t>
  </si>
  <si>
    <t>RAFAEL DE FREITAS</t>
  </si>
  <si>
    <t>G.S CITRUS COMERCIO ATACA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</si>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</sst>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[Analise_ROBERVAL_25092026.xlsx]Resumo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FORTE TRANSPORT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7559.78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FORTE TRANSPORT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6459.5275999999994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[Analise_ROBERVAL_25092026.xlsx]Resumo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FORTE TRANSPORT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7559.78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FORTE TRANSPORT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6459.5275999999994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5.41900752314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717" count="8000">
        <n v="30271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5T00:00:00" maxDate="2026-09-26T00:00:00"/>
    </cacheField>
    <cacheField name="DATA" numFmtId="14">
      <sharedItems containsNonDate="0" containsDate="1" containsString="0" containsBlank="1" minDate="2026-09-25T00:00:00" maxDate="2026-09-2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FORTE TRANSPOR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61099.88" maxValue="361099.88"/>
    </cacheField>
    <cacheField name="SERVICO" numFmtId="0">
      <sharedItems containsBlank="1" count="27">
        <s v="SUBCONTRATO_PER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559.78" maxValue="7559.78"/>
    </cacheField>
    <cacheField name="VOLUMES" numFmtId="0">
      <sharedItems containsString="0" containsBlank="1" containsNumber="1" containsInteger="1" minValue="41" maxValue="41"/>
    </cacheField>
    <cacheField name="PESO" numFmtId="0">
      <sharedItems containsString="0" containsBlank="1" containsNumber="1" minValue="676.6" maxValue="676.6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298.81" maxValue="298.81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0" maxValue="0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80.55" maxValue="180.55"/>
    </cacheField>
    <cacheField name="OUTROS" numFmtId="0">
      <sharedItems containsString="0" containsBlank="1" containsNumber="1" minValue="16.11" maxValue="16.11"/>
    </cacheField>
    <cacheField name="C.TOTAL" numFmtId="0">
      <sharedItems containsString="0" containsBlank="1" containsNumber="1" minValue="2369.58" maxValue="2369.58"/>
    </cacheField>
    <cacheField name="RECEITA" numFmtId="0">
      <sharedItems containsString="0" containsBlank="1" containsNumber="1" minValue="5190.2" maxValue="5190.2"/>
    </cacheField>
    <cacheField name="IMPOSTO" numFmtId="0">
      <sharedItems containsString="0" containsBlank="1" containsNumber="1" minValue="1965.54" maxValue="1965.54"/>
    </cacheField>
    <cacheField name="RESULTADO" numFmtId="0">
      <sharedItems containsString="0" containsBlank="1" containsNumber="1" minValue="3224.66" maxValue="3224.6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3224.66" maxValue="3224.66"/>
    </cacheField>
    <cacheField name="MARGEM" numFmtId="10">
      <sharedItems containsString="0" containsBlank="1" containsNumber="1" minValue="0.42659999999999998" maxValue="0.4265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5T00:00:00"/>
    <d v="2026-09-25T00:00:00"/>
    <m/>
    <s v="203865-1"/>
    <x v="0"/>
    <s v="MURILO PEREIRA"/>
    <n v="361099.88"/>
    <x v="0"/>
    <s v="CTE NORMAL"/>
    <s v="ITAJAI - SC"/>
    <n v="7559.78"/>
    <n v="41"/>
    <n v="676.6"/>
    <s v="N/D"/>
    <n v="0"/>
    <s v="RAFAEL DE FREITAS"/>
    <n v="298.81"/>
    <s v="G.S CITRUS COMERCIO ATACA"/>
    <n v="0"/>
    <n v="0"/>
    <n v="0"/>
    <n v="0"/>
    <n v="180.55"/>
    <n v="16.11"/>
    <n v="2369.58"/>
    <n v="5190.2"/>
    <n v="1965.54"/>
    <n v="3224.66"/>
    <n v="0"/>
    <n v="3224.66"/>
    <n v="0.42659999999999998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m="1" x="806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x="0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4"/>
        <item m="1" x="91"/>
        <item m="1" x="573"/>
        <item m="1" x="157"/>
        <item sd="0" m="1" x="561"/>
        <item m="1" x="45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8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8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x="0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9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49"/>
        <item sd="0" m="1" x="187"/>
        <item sd="0" m="1" x="273"/>
        <item m="1" x="11"/>
        <item m="1" x="762"/>
        <item m="1" x="392"/>
        <item sd="0" m="1" x="713"/>
        <item m="1" x="296"/>
        <item sd="0" m="1" x="113"/>
        <item m="1" x="271"/>
        <item m="1" x="591"/>
        <item m="1" x="324"/>
        <item sd="0" m="1" x="676"/>
        <item sd="0" m="1" x="502"/>
        <item m="1" x="24"/>
        <item m="1" x="582"/>
        <item m="1" x="852"/>
        <item m="1" x="20"/>
        <item m="1" x="758"/>
        <item m="1" x="112"/>
        <item m="1" x="545"/>
        <item m="1" x="828"/>
        <item m="1" x="270"/>
        <item m="1" x="479"/>
        <item m="1" x="773"/>
        <item m="1" x="266"/>
        <item m="1" x="343"/>
        <item m="1" x="677"/>
        <item sd="0" m="1" x="801"/>
        <item m="1" x="76"/>
        <item m="1" x="47"/>
        <item sd="0" m="1" x="669"/>
        <item m="1" x="661"/>
        <item m="1" x="469"/>
        <item m="1" x="44"/>
        <item sd="0" m="1" x="731"/>
        <item m="1" x="690"/>
        <item m="1" x="216"/>
        <item sd="0" m="1" x="476"/>
        <item m="1" x="634"/>
        <item m="1" x="446"/>
        <item sd="0" m="1" x="809"/>
        <item m="1" x="668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3"/>
        <item m="1" x="240"/>
        <item m="1" x="239"/>
        <item m="1" x="462"/>
        <item m="1" x="286"/>
        <item m="1" x="550"/>
        <item m="1" x="845"/>
        <item m="1" x="445"/>
        <item m="1" x="530"/>
        <item m="1" x="666"/>
        <item m="1" x="519"/>
        <item m="1" x="793"/>
        <item sd="0" m="1" x="178"/>
        <item sd="0" m="1" x="58"/>
        <item m="1" x="356"/>
        <item m="1" x="687"/>
        <item m="1" x="312"/>
        <item m="1" x="136"/>
        <item m="1" x="294"/>
        <item m="1" x="602"/>
        <item m="1" x="206"/>
        <item m="1" x="675"/>
        <item m="1" x="139"/>
        <item m="1" x="689"/>
        <item m="1" x="453"/>
        <item m="1" x="408"/>
        <item m="1" x="516"/>
        <item m="1" x="318"/>
        <item m="1" x="592"/>
        <item m="1" x="596"/>
        <item m="1" x="733"/>
        <item m="1" x="786"/>
        <item m="1" x="183"/>
        <item m="1" x="835"/>
        <item m="1" x="712"/>
        <item m="1" x="378"/>
        <item m="1" x="207"/>
        <item sd="0" m="1" x="522"/>
        <item m="1" x="463"/>
        <item m="1" x="138"/>
        <item m="1" x="662"/>
        <item m="1" x="372"/>
        <item m="1" x="154"/>
        <item m="1" x="251"/>
        <item m="1" x="629"/>
        <item m="1" x="737"/>
        <item m="1" x="421"/>
        <item m="1" x="80"/>
        <item m="1" x="697"/>
        <item m="1" x="284"/>
        <item m="1" x="846"/>
        <item m="1" x="248"/>
        <item sd="0" m="1" x="764"/>
        <item m="1" x="425"/>
        <item m="1" x="436"/>
        <item m="1" x="167"/>
        <item m="1" x="543"/>
        <item m="1" x="806"/>
        <item sd="0" m="1" x="621"/>
        <item m="1" x="4"/>
        <item m="1" x="771"/>
        <item m="1" x="14"/>
        <item m="1" x="740"/>
        <item m="1" x="393"/>
        <item m="1" x="276"/>
        <item m="1" x="65"/>
        <item sd="0" m="1" x="186"/>
        <item sd="0" m="1" x="307"/>
        <item sd="0" m="1" x="177"/>
        <item m="1" x="597"/>
        <item m="1" x="172"/>
        <item m="1" x="615"/>
        <item sd="0" m="1" x="768"/>
        <item m="1" x="483"/>
        <item m="1" x="52"/>
        <item m="1" x="650"/>
        <item m="1" x="470"/>
        <item m="1" x="249"/>
        <item m="1" x="328"/>
        <item m="1" x="437"/>
        <item m="1" x="352"/>
        <item sd="0" m="1" x="572"/>
        <item m="1" x="568"/>
        <item sd="0" m="1" x="734"/>
        <item m="1" x="756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8"/>
        <item m="1" x="853"/>
        <item sd="0" m="1" x="829"/>
        <item m="1" x="106"/>
        <item m="1" x="401"/>
        <item m="1" x="114"/>
        <item sd="0" m="1" x="653"/>
        <item m="1" x="657"/>
        <item m="1" x="796"/>
        <item sd="0" m="1" x="696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1"/>
        <item sd="0" m="1" x="639"/>
        <item m="1" x="53"/>
        <item m="1" x="794"/>
        <item m="1" x="717"/>
        <item m="1" x="417"/>
        <item m="1" x="735"/>
        <item m="1" x="813"/>
        <item m="1" x="562"/>
        <item m="1" x="559"/>
        <item m="1" x="429"/>
        <item m="1" x="715"/>
        <item m="1" x="505"/>
        <item m="1" x="173"/>
        <item m="1" x="628"/>
        <item m="1" x="375"/>
        <item m="1" x="807"/>
        <item m="1" x="59"/>
        <item m="1" x="632"/>
        <item m="1" x="531"/>
        <item m="1" x="295"/>
        <item m="1" x="304"/>
        <item m="1" x="174"/>
        <item m="1" x="101"/>
        <item sd="0" m="1" x="70"/>
        <item m="1" x="579"/>
        <item sd="0" m="1" x="799"/>
        <item m="1" x="32"/>
        <item m="1" x="674"/>
        <item m="1" x="287"/>
        <item m="1" x="630"/>
        <item m="1" x="265"/>
        <item m="1" x="115"/>
        <item m="1" x="333"/>
        <item m="1" x="220"/>
        <item m="1" x="510"/>
        <item m="1" x="117"/>
        <item sd="0" m="1" x="537"/>
        <item m="1" x="83"/>
        <item m="1" x="603"/>
        <item sd="0" m="1" x="450"/>
        <item m="1" x="349"/>
        <item m="1" x="78"/>
        <item m="1" x="583"/>
        <item m="1" x="18"/>
        <item m="1" x="160"/>
        <item m="1" x="774"/>
        <item m="1" x="580"/>
        <item m="1" x="518"/>
        <item m="1" x="798"/>
        <item m="1" x="165"/>
        <item sd="0" m="1" x="826"/>
        <item m="1" x="110"/>
        <item m="1" x="422"/>
        <item m="1" x="427"/>
        <item sd="0" m="1" x="9"/>
        <item m="1" x="42"/>
        <item m="1" x="16"/>
        <item m="1" x="623"/>
        <item m="1" x="557"/>
        <item m="1" x="627"/>
        <item m="1" x="345"/>
        <item m="1" x="433"/>
        <item m="1" x="709"/>
        <item m="1" x="210"/>
        <item m="1" x="439"/>
        <item sd="0" m="1" x="102"/>
        <item sd="0" m="1" x="196"/>
        <item m="1" x="831"/>
        <item m="1" x="765"/>
        <item m="1" x="509"/>
        <item m="1" x="821"/>
        <item m="1" x="341"/>
        <item m="1" x="223"/>
        <item m="1" x="64"/>
        <item m="1" x="636"/>
        <item m="1" x="458"/>
        <item m="1" x="791"/>
        <item sd="0" m="1" x="704"/>
        <item m="1" x="234"/>
        <item m="1" x="598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6"/>
        <item m="1" x="546"/>
        <item m="1" x="213"/>
        <item m="1" x="415"/>
        <item m="1" x="419"/>
        <item x="0"/>
        <item m="1" x="41"/>
        <item m="1" x="805"/>
        <item sd="0" m="1" x="487"/>
        <item m="1" x="443"/>
        <item m="1" x="399"/>
        <item sd="0" m="1" x="609"/>
        <item m="1" x="153"/>
        <item m="1" x="15"/>
        <item m="1" x="232"/>
        <item m="1" x="241"/>
        <item m="1" x="5"/>
        <item m="1" x="388"/>
        <item m="1" x="370"/>
        <item m="1" x="616"/>
        <item m="1" x="57"/>
        <item m="1" x="708"/>
        <item m="1" x="23"/>
        <item m="1" x="36"/>
        <item m="1" x="8"/>
        <item m="1" x="418"/>
        <item sd="0" m="1" x="684"/>
        <item m="1" x="285"/>
        <item m="1" x="316"/>
        <item m="1" x="380"/>
        <item m="1" x="540"/>
        <item m="1" x="314"/>
        <item m="1" x="339"/>
        <item m="1" x="772"/>
        <item m="1" x="143"/>
        <item m="1" x="667"/>
        <item sd="0" m="1" x="839"/>
        <item sd="0" m="1" x="38"/>
        <item m="1" x="383"/>
        <item m="1" x="590"/>
        <item m="1" x="748"/>
        <item sd="0" m="1" x="269"/>
        <item m="1" x="17"/>
        <item m="1" x="638"/>
        <item m="1" x="389"/>
        <item m="1" x="480"/>
        <item m="1" x="344"/>
        <item m="1" x="738"/>
        <item m="1" x="245"/>
        <item m="1" x="261"/>
        <item sd="0" m="1" x="274"/>
        <item sd="0" m="1" x="822"/>
        <item m="1" x="6"/>
        <item m="1" x="350"/>
        <item m="1" x="578"/>
        <item m="1" x="161"/>
        <item m="1" x="315"/>
        <item sd="0" m="1" x="699"/>
        <item m="1" x="331"/>
        <item m="1" x="626"/>
        <item m="1" x="542"/>
        <item sd="0" m="1" x="369"/>
        <item sd="0" m="1" x="335"/>
        <item sd="0" m="1" x="175"/>
        <item m="1" x="420"/>
        <item m="1" x="702"/>
        <item m="1" x="698"/>
        <item m="1" x="379"/>
        <item m="1" x="348"/>
        <item m="1" x="150"/>
        <item m="1" x="760"/>
        <item sd="0" m="1" x="691"/>
        <item sd="0" m="1" x="21"/>
        <item m="1" x="728"/>
        <item m="1" x="781"/>
        <item m="1" x="640"/>
        <item m="1" x="329"/>
        <item m="1" x="368"/>
        <item m="1" x="815"/>
        <item m="1" x="777"/>
        <item m="1" x="144"/>
        <item m="1" x="498"/>
        <item m="1" x="467"/>
        <item sd="0" m="1" x="140"/>
        <item sd="0" m="1" x="757"/>
        <item m="1" x="148"/>
        <item m="1" x="224"/>
        <item m="1" x="721"/>
        <item m="1" x="556"/>
        <item m="1" x="116"/>
        <item m="1" x="376"/>
        <item m="1" x="719"/>
        <item m="1" x="127"/>
        <item m="1" x="33"/>
        <item m="1" x="302"/>
        <item m="1" x="549"/>
        <item m="1" x="60"/>
        <item m="1" x="452"/>
        <item m="1" x="775"/>
        <item m="1" x="485"/>
        <item m="1" x="741"/>
        <item sd="0" m="1" x="454"/>
        <item m="1" x="521"/>
        <item m="1" x="162"/>
        <item sd="0" m="1" x="404"/>
        <item m="1" x="742"/>
        <item m="1" x="194"/>
        <item m="1" x="747"/>
        <item m="1" x="384"/>
        <item sd="0" m="1" x="137"/>
        <item m="1" x="659"/>
        <item m="1" x="430"/>
        <item m="1" x="665"/>
        <item m="1" x="493"/>
        <item sd="0" m="1" x="686"/>
        <item sd="0" m="1" x="327"/>
        <item m="1" x="769"/>
        <item sd="0" m="1" x="804"/>
        <item m="1" x="91"/>
        <item m="1" x="573"/>
        <item m="1" x="157"/>
        <item sd="0" m="1" x="561"/>
        <item m="1" x="45"/>
        <item m="1" x="724"/>
        <item m="1" x="749"/>
        <item m="1" x="744"/>
        <item m="1" x="847"/>
        <item sd="0" m="1" x="124"/>
        <item m="1" x="465"/>
        <item m="1" x="701"/>
        <item m="1" x="428"/>
        <item m="1" x="363"/>
        <item m="1" x="100"/>
        <item m="1" x="481"/>
        <item m="1" x="608"/>
        <item sd="0" m="1" x="716"/>
        <item sd="0" m="1" x="54"/>
        <item m="1" x="298"/>
        <item m="1" x="683"/>
        <item m="1" x="135"/>
        <item m="1" x="330"/>
        <item m="1" x="536"/>
        <item sd="0" m="1" x="237"/>
        <item m="1" x="558"/>
        <item m="1" x="547"/>
        <item m="1" x="850"/>
        <item m="1" x="2"/>
        <item m="1" x="272"/>
        <item sd="0" m="1" x="75"/>
        <item m="1" x="130"/>
        <item m="1" x="655"/>
        <item sd="0" m="1" x="722"/>
        <item m="1" x="642"/>
        <item m="1" x="231"/>
        <item m="1" x="373"/>
        <item m="1" x="736"/>
        <item sd="0" m="1" x="132"/>
        <item m="1" x="86"/>
        <item m="1" x="209"/>
        <item m="1" x="682"/>
        <item m="1" x="275"/>
        <item m="1" x="472"/>
        <item m="1" x="800"/>
        <item m="1" x="217"/>
        <item m="1" x="827"/>
        <item m="1" x="69"/>
        <item m="1" x="118"/>
        <item m="1" x="646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9"/>
        <item m="1" x="301"/>
        <item m="1" x="309"/>
        <item m="1" x="367"/>
        <item m="1" x="491"/>
        <item m="1" x="663"/>
        <item m="1" x="188"/>
        <item m="1" x="660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1"/>
        <item m="1" x="268"/>
        <item m="1" x="752"/>
        <item m="1" x="371"/>
        <item m="1" x="246"/>
        <item m="1" x="398"/>
        <item sd="0" m="1" x="482"/>
        <item m="1" x="338"/>
        <item m="1" x="613"/>
        <item m="1" x="673"/>
        <item m="1" x="838"/>
        <item m="1" x="50"/>
        <item m="1" x="606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10"/>
        <item m="1" x="171"/>
        <item m="1" x="587"/>
        <item m="1" x="227"/>
        <item m="1" x="391"/>
        <item m="1" x="658"/>
        <item m="1" x="310"/>
        <item m="1" x="74"/>
        <item sd="0" m="1" x="670"/>
        <item m="1" x="94"/>
        <item m="1" x="440"/>
        <item sd="0" m="1" x="351"/>
        <item m="1" x="785"/>
        <item m="1" x="499"/>
        <item m="1" x="61"/>
        <item m="1" x="456"/>
        <item m="1" x="82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1"/>
        <item m="1" x="535"/>
        <item m="1" x="645"/>
        <item m="1" x="610"/>
        <item m="1" x="834"/>
        <item m="1" x="788"/>
        <item m="1" x="28"/>
        <item m="1" x="783"/>
        <item m="1" x="253"/>
        <item m="1" x="475"/>
        <item m="1" x="812"/>
        <item m="1" x="464"/>
        <item m="1" x="746"/>
        <item m="1" x="649"/>
        <item m="1" x="776"/>
        <item sd="0" m="1" x="71"/>
        <item m="1" x="714"/>
        <item m="1" x="574"/>
        <item m="1" x="184"/>
        <item m="1" x="718"/>
        <item m="1" x="111"/>
        <item m="1" x="254"/>
        <item m="1" x="512"/>
        <item m="1" x="95"/>
        <item m="1" x="523"/>
        <item m="1" x="790"/>
        <item m="1" x="19"/>
        <item m="1" x="538"/>
        <item m="1" x="637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0"/>
        <item m="1" x="142"/>
        <item m="1" x="652"/>
        <item m="1" x="605"/>
        <item m="1" x="441"/>
        <item m="1" x="22"/>
        <item m="1" x="595"/>
        <item m="1" x="435"/>
        <item m="1" x="67"/>
        <item m="1" x="656"/>
        <item m="1" x="678"/>
        <item m="1" x="566"/>
        <item m="1" x="515"/>
        <item m="1" x="599"/>
        <item m="1" x="317"/>
        <item m="1" x="782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9"/>
        <item m="1" x="567"/>
        <item m="1" x="688"/>
        <item m="1" x="280"/>
        <item m="1" x="525"/>
        <item m="1" x="526"/>
        <item m="1" x="37"/>
        <item m="1" x="593"/>
        <item m="1" x="802"/>
        <item m="1" x="584"/>
        <item m="1" x="750"/>
        <item m="1" x="723"/>
        <item m="1" x="533"/>
        <item sd="0" m="1" x="46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2"/>
        <item m="1" x="200"/>
        <item m="1" x="151"/>
        <item m="1" x="236"/>
        <item m="1" x="503"/>
        <item m="1" x="787"/>
        <item m="1" x="259"/>
        <item sd="0" m="1" x="753"/>
        <item m="1" x="128"/>
        <item m="1" x="211"/>
        <item m="1" x="833"/>
        <item m="1" x="586"/>
        <item m="1" x="797"/>
        <item m="1" x="727"/>
        <item m="1" x="412"/>
        <item m="1" x="25"/>
        <item m="1" x="342"/>
        <item m="1" x="490"/>
        <item m="1" x="511"/>
        <item m="1" x="770"/>
        <item m="1" x="720"/>
        <item m="1" x="761"/>
        <item m="1" x="520"/>
        <item m="1" x="643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5"/>
        <item m="1" x="155"/>
        <item m="1" x="233"/>
        <item m="1" x="238"/>
        <item m="1" x="466"/>
        <item m="1" x="707"/>
        <item m="1" x="620"/>
        <item m="1" x="732"/>
        <item m="1" x="471"/>
        <item m="1" x="552"/>
        <item m="1" x="264"/>
        <item m="1" x="250"/>
        <item m="1" x="633"/>
        <item m="1" x="700"/>
        <item m="1" x="357"/>
        <item m="1" x="13"/>
        <item m="1" x="225"/>
        <item m="1" x="784"/>
        <item m="1" x="725"/>
        <item m="1" x="841"/>
        <item m="1" x="444"/>
        <item m="1" x="193"/>
        <item m="1" x="306"/>
        <item m="1" x="340"/>
        <item sd="0" m="1" x="96"/>
        <item m="1" x="695"/>
        <item m="1" x="305"/>
        <item sd="0" m="1" x="355"/>
        <item m="1" x="402"/>
        <item m="1" x="618"/>
        <item m="1" x="614"/>
        <item m="1" x="778"/>
        <item m="1" x="394"/>
        <item m="1" x="400"/>
        <item m="1" x="705"/>
        <item m="1" x="403"/>
        <item m="1" x="830"/>
        <item m="1" x="495"/>
        <item m="1" x="395"/>
        <item m="1" x="671"/>
        <item m="1" x="185"/>
        <item sd="0" m="1" x="409"/>
        <item m="1" x="474"/>
        <item m="1" x="837"/>
        <item m="1" x="125"/>
        <item sd="0" m="1" x="152"/>
        <item m="1" x="594"/>
        <item m="1" x="779"/>
        <item m="1" x="612"/>
        <item m="1" x="560"/>
        <item m="1" x="308"/>
        <item m="1" x="654"/>
        <item m="1" x="726"/>
        <item sd="0" m="1" x="405"/>
        <item m="1" x="745"/>
        <item m="1" x="79"/>
        <item m="1" x="51"/>
        <item m="1" x="851"/>
        <item m="1" x="29"/>
        <item sd="0" m="1" x="571"/>
        <item m="1" x="513"/>
        <item m="1" x="413"/>
        <item m="1" x="703"/>
        <item m="1" x="204"/>
        <item sd="0" m="1" x="644"/>
        <item m="1" x="780"/>
        <item sd="0" m="1" x="468"/>
        <item sd="0" m="1" x="40"/>
        <item m="1" x="694"/>
        <item m="1" x="664"/>
        <item sd="0" m="1" x="808"/>
        <item m="1" x="816"/>
        <item m="1" x="625"/>
        <item m="1" x="459"/>
        <item m="1" x="692"/>
        <item sd="0" m="1" x="134"/>
        <item m="1" x="410"/>
        <item m="1" x="693"/>
        <item m="1" x="442"/>
        <item m="1" x="361"/>
        <item sd="0" m="1" x="706"/>
        <item m="1" x="303"/>
        <item m="1" x="189"/>
        <item m="1" x="681"/>
        <item sd="0" m="1" x="283"/>
        <item m="1" x="219"/>
        <item m="1" x="319"/>
        <item m="1" x="255"/>
        <item sd="0" m="1" x="192"/>
        <item m="1" x="730"/>
        <item m="1" x="385"/>
        <item m="1" x="577"/>
        <item m="1" x="360"/>
        <item m="1" x="451"/>
        <item m="1" x="514"/>
        <item m="1" x="122"/>
        <item m="1" x="647"/>
        <item m="1" x="48"/>
        <item m="1" x="416"/>
        <item m="1" x="145"/>
        <item sd="0" m="1" x="729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80"/>
        <item m="1" x="81"/>
        <item m="1" x="635"/>
        <item m="1" x="66"/>
        <item m="1" x="651"/>
        <item m="1" x="489"/>
        <item m="1" x="754"/>
        <item m="1" x="163"/>
        <item m="1" x="191"/>
        <item m="1" x="679"/>
        <item m="1" x="299"/>
        <item m="1" x="589"/>
        <item sd="0" m="1" x="179"/>
        <item m="1" x="624"/>
        <item sd="0" m="1" x="63"/>
        <item m="1" x="424"/>
        <item sd="0" m="1" x="26"/>
        <item sd="0" m="1" x="766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4"/>
        <item sd="0" m="1" x="297"/>
        <item sd="0" m="1" x="397"/>
        <item sd="0" m="1" x="229"/>
        <item sd="0" m="1" x="7"/>
        <item m="1" x="473"/>
        <item sd="0" m="1" x="824"/>
        <item m="1" x="35"/>
        <item m="1" x="311"/>
        <item m="1" x="825"/>
        <item m="1" x="563"/>
        <item m="1" x="62"/>
        <item m="1" x="569"/>
        <item m="1" x="431"/>
        <item m="1" x="426"/>
        <item m="1" x="176"/>
        <item m="1" x="366"/>
        <item m="1" x="759"/>
        <item m="1" x="601"/>
        <item m="1" x="12"/>
        <item m="1" x="92"/>
        <item m="1" x="438"/>
        <item m="1" x="434"/>
        <item m="1" x="121"/>
        <item m="1" x="631"/>
        <item m="1" x="201"/>
        <item m="1" x="156"/>
        <item m="1" x="55"/>
        <item m="1" x="548"/>
        <item sd="0" m="1" x="619"/>
        <item m="1" x="99"/>
        <item m="1" x="767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600"/>
        <item m="1" x="190"/>
        <item m="1" x="226"/>
        <item m="1" x="842"/>
        <item m="1" x="836"/>
        <item m="1" x="492"/>
        <item m="1" x="685"/>
        <item m="1" x="243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8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x="0"/>
        <item m="1" x="12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9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3" s="1" nd="1"/>
        <i x="795" s="1" nd="1"/>
        <i x="544" s="1" nd="1"/>
        <i x="149" s="1" nd="1"/>
        <i x="187" s="1" nd="1"/>
        <i x="273" s="1" nd="1"/>
        <i x="11" s="1" nd="1"/>
        <i x="762" s="1" nd="1"/>
        <i x="392" s="1" nd="1"/>
        <i x="713" s="1" nd="1"/>
        <i x="296" s="1" nd="1"/>
        <i x="113" s="1" nd="1"/>
        <i x="271" s="1" nd="1"/>
        <i x="591" s="1" nd="1"/>
        <i x="324" s="1" nd="1"/>
        <i x="676" s="1" nd="1"/>
        <i x="502" s="1" nd="1"/>
        <i x="24" s="1" nd="1"/>
        <i x="582" s="1" nd="1"/>
        <i x="852" s="1" nd="1"/>
        <i x="20" s="1" nd="1"/>
        <i x="758" s="1" nd="1"/>
        <i x="112" s="1" nd="1"/>
        <i x="545" s="1" nd="1"/>
        <i x="828" s="1" nd="1"/>
        <i x="270" s="1" nd="1"/>
        <i x="479" s="1" nd="1"/>
        <i x="773" s="1" nd="1"/>
        <i x="266" s="1" nd="1"/>
        <i x="343" s="1" nd="1"/>
        <i x="677" s="1" nd="1"/>
        <i x="801" s="1" nd="1"/>
        <i x="76" s="1" nd="1"/>
        <i x="47" s="1" nd="1"/>
        <i x="669" s="1" nd="1"/>
        <i x="661" s="1" nd="1"/>
        <i x="469" s="1" nd="1"/>
        <i x="44" s="1" nd="1"/>
        <i x="731" s="1" nd="1"/>
        <i x="690" s="1" nd="1"/>
        <i x="216" s="1" nd="1"/>
        <i x="476" s="1" nd="1"/>
        <i x="634" s="1" nd="1"/>
        <i x="446" s="1" nd="1"/>
        <i x="809" s="1" nd="1"/>
        <i x="668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3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6" s="1" nd="1"/>
        <i x="519" s="1" nd="1"/>
        <i x="793" s="1" nd="1"/>
        <i x="178" s="1" nd="1"/>
        <i x="58" s="1" nd="1"/>
        <i x="356" s="1" nd="1"/>
        <i x="687" s="1" nd="1"/>
        <i x="312" s="1" nd="1"/>
        <i x="136" s="1" nd="1"/>
        <i x="294" s="1" nd="1"/>
        <i x="602" s="1" nd="1"/>
        <i x="206" s="1" nd="1"/>
        <i x="675" s="1" nd="1"/>
        <i x="139" s="1" nd="1"/>
        <i x="689" s="1" nd="1"/>
        <i x="453" s="1" nd="1"/>
        <i x="408" s="1" nd="1"/>
        <i x="516" s="1" nd="1"/>
        <i x="318" s="1" nd="1"/>
        <i x="592" s="1" nd="1"/>
        <i x="596" s="1" nd="1"/>
        <i x="733" s="1" nd="1"/>
        <i x="786" s="1" nd="1"/>
        <i x="183" s="1" nd="1"/>
        <i x="835" s="1" nd="1"/>
        <i x="712" s="1" nd="1"/>
        <i x="378" s="1" nd="1"/>
        <i x="207" s="1" nd="1"/>
        <i x="522" s="1" nd="1"/>
        <i x="463" s="1" nd="1"/>
        <i x="138" s="1" nd="1"/>
        <i x="662" s="1" nd="1"/>
        <i x="372" s="1" nd="1"/>
        <i x="154" s="1" nd="1"/>
        <i x="251" s="1" nd="1"/>
        <i x="629" s="1" nd="1"/>
        <i x="737" s="1" nd="1"/>
        <i x="421" s="1" nd="1"/>
        <i x="80" s="1" nd="1"/>
        <i x="697" s="1" nd="1"/>
        <i x="284" s="1" nd="1"/>
        <i x="846" s="1" nd="1"/>
        <i x="248" s="1" nd="1"/>
        <i x="764" s="1" nd="1"/>
        <i x="425" s="1" nd="1"/>
        <i x="436" s="1" nd="1"/>
        <i x="167" s="1" nd="1"/>
        <i x="543" s="1" nd="1"/>
        <i x="806" s="1" nd="1"/>
        <i x="621" s="1" nd="1"/>
        <i x="4" s="1" nd="1"/>
        <i x="771" s="1" nd="1"/>
        <i x="14" s="1" nd="1"/>
        <i x="740" s="1" nd="1"/>
        <i x="393" s="1" nd="1"/>
        <i x="276" s="1" nd="1"/>
        <i x="65" s="1" nd="1"/>
        <i x="186" s="1" nd="1"/>
        <i x="307" s="1" nd="1"/>
        <i x="177" s="1" nd="1"/>
        <i x="597" s="1" nd="1"/>
        <i x="172" s="1" nd="1"/>
        <i x="615" s="1" nd="1"/>
        <i x="768" s="1" nd="1"/>
        <i x="483" s="1" nd="1"/>
        <i x="52" s="1" nd="1"/>
        <i x="650" s="1" nd="1"/>
        <i x="470" s="1" nd="1"/>
        <i x="249" s="1" nd="1"/>
        <i x="328" s="1" nd="1"/>
        <i x="437" s="1" nd="1"/>
        <i x="352" s="1" nd="1"/>
        <i x="572" s="1" nd="1"/>
        <i x="568" s="1" nd="1"/>
        <i x="734" s="1" nd="1"/>
        <i x="756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8" s="1" nd="1"/>
        <i x="853" s="1" nd="1"/>
        <i x="829" s="1" nd="1"/>
        <i x="106" s="1" nd="1"/>
        <i x="401" s="1" nd="1"/>
        <i x="114" s="1" nd="1"/>
        <i x="653" s="1" nd="1"/>
        <i x="657" s="1" nd="1"/>
        <i x="796" s="1" nd="1"/>
        <i x="696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1" s="1" nd="1"/>
        <i x="639" s="1" nd="1"/>
        <i x="53" s="1" nd="1"/>
        <i x="794" s="1" nd="1"/>
        <i x="717" s="1" nd="1"/>
        <i x="417" s="1" nd="1"/>
        <i x="735" s="1" nd="1"/>
        <i x="813" s="1" nd="1"/>
        <i x="562" s="1" nd="1"/>
        <i x="559" s="1" nd="1"/>
        <i x="429" s="1" nd="1"/>
        <i x="715" s="1" nd="1"/>
        <i x="505" s="1" nd="1"/>
        <i x="173" s="1" nd="1"/>
        <i x="628" s="1" nd="1"/>
        <i x="375" s="1" nd="1"/>
        <i x="807" s="1" nd="1"/>
        <i x="59" s="1" nd="1"/>
        <i x="632" s="1" nd="1"/>
        <i x="531" s="1" nd="1"/>
        <i x="295" s="1" nd="1"/>
        <i x="304" s="1" nd="1"/>
        <i x="174" s="1" nd="1"/>
        <i x="101" s="1" nd="1"/>
        <i x="70" s="1" nd="1"/>
        <i x="579" s="1" nd="1"/>
        <i x="799" s="1" nd="1"/>
        <i x="32" s="1" nd="1"/>
        <i x="674" s="1" nd="1"/>
        <i x="287" s="1" nd="1"/>
        <i x="630" s="1" nd="1"/>
        <i x="265" s="1" nd="1"/>
        <i x="115" s="1" nd="1"/>
        <i x="333" s="1" nd="1"/>
        <i x="220" s="1" nd="1"/>
        <i x="510" s="1" nd="1"/>
        <i x="117" s="1" nd="1"/>
        <i x="537" s="1" nd="1"/>
        <i x="83" s="1" nd="1"/>
        <i x="603" s="1" nd="1"/>
        <i x="450" s="1" nd="1"/>
        <i x="349" s="1" nd="1"/>
        <i x="78" s="1" nd="1"/>
        <i x="583" s="1" nd="1"/>
        <i x="18" s="1" nd="1"/>
        <i x="160" s="1" nd="1"/>
        <i x="774" s="1" nd="1"/>
        <i x="580" s="1" nd="1"/>
        <i x="518" s="1" nd="1"/>
        <i x="798" s="1" nd="1"/>
        <i x="165" s="1" nd="1"/>
        <i x="826" s="1" nd="1"/>
        <i x="110" s="1" nd="1"/>
        <i x="422" s="1" nd="1"/>
        <i x="427" s="1" nd="1"/>
        <i x="9" s="1" nd="1"/>
        <i x="42" s="1" nd="1"/>
        <i x="16" s="1" nd="1"/>
        <i x="623" s="1" nd="1"/>
        <i x="557" s="1" nd="1"/>
        <i x="627" s="1" nd="1"/>
        <i x="345" s="1" nd="1"/>
        <i x="433" s="1" nd="1"/>
        <i x="709" s="1" nd="1"/>
        <i x="210" s="1" nd="1"/>
        <i x="439" s="1" nd="1"/>
        <i x="102" s="1" nd="1"/>
        <i x="196" s="1" nd="1"/>
        <i x="831" s="1" nd="1"/>
        <i x="765" s="1" nd="1"/>
        <i x="509" s="1" nd="1"/>
        <i x="821" s="1" nd="1"/>
        <i x="341" s="1" nd="1"/>
        <i x="223" s="1" nd="1"/>
        <i x="64" s="1" nd="1"/>
        <i x="636" s="1" nd="1"/>
        <i x="458" s="1" nd="1"/>
        <i x="791" s="1" nd="1"/>
        <i x="704" s="1" nd="1"/>
        <i x="234" s="1" nd="1"/>
        <i x="598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6" s="1" nd="1"/>
        <i x="546" s="1" nd="1"/>
        <i x="213" s="1" nd="1"/>
        <i x="415" s="1" nd="1"/>
        <i x="419" s="1" nd="1"/>
        <i x="41" s="1" nd="1"/>
        <i x="805" s="1" nd="1"/>
        <i x="487" s="1" nd="1"/>
        <i x="443" s="1" nd="1"/>
        <i x="399" s="1" nd="1"/>
        <i x="609" s="1" nd="1"/>
        <i x="153" s="1" nd="1"/>
        <i x="15" s="1" nd="1"/>
        <i x="232" s="1" nd="1"/>
        <i x="241" s="1" nd="1"/>
        <i x="5" s="1" nd="1"/>
        <i x="388" s="1" nd="1"/>
        <i x="370" s="1" nd="1"/>
        <i x="616" s="1" nd="1"/>
        <i x="57" s="1" nd="1"/>
        <i x="708" s="1" nd="1"/>
        <i x="23" s="1" nd="1"/>
        <i x="36" s="1" nd="1"/>
        <i x="8" s="1" nd="1"/>
        <i x="418" s="1" nd="1"/>
        <i x="684" s="1" nd="1"/>
        <i x="285" s="1" nd="1"/>
        <i x="316" s="1" nd="1"/>
        <i x="380" s="1" nd="1"/>
        <i x="540" s="1" nd="1"/>
        <i x="314" s="1" nd="1"/>
        <i x="339" s="1" nd="1"/>
        <i x="772" s="1" nd="1"/>
        <i x="143" s="1" nd="1"/>
        <i x="667" s="1" nd="1"/>
        <i x="839" s="1" nd="1"/>
        <i x="38" s="1" nd="1"/>
        <i x="383" s="1" nd="1"/>
        <i x="590" s="1" nd="1"/>
        <i x="748" s="1" nd="1"/>
        <i x="269" s="1" nd="1"/>
        <i x="17" s="1" nd="1"/>
        <i x="638" s="1" nd="1"/>
        <i x="389" s="1" nd="1"/>
        <i x="480" s="1" nd="1"/>
        <i x="344" s="1" nd="1"/>
        <i x="738" s="1" nd="1"/>
        <i x="245" s="1" nd="1"/>
        <i x="261" s="1" nd="1"/>
        <i x="274" s="1" nd="1"/>
        <i x="822" s="1" nd="1"/>
        <i x="6" s="1" nd="1"/>
        <i x="350" s="1" nd="1"/>
        <i x="578" s="1" nd="1"/>
        <i x="161" s="1" nd="1"/>
        <i x="315" s="1" nd="1"/>
        <i x="699" s="1" nd="1"/>
        <i x="331" s="1" nd="1"/>
        <i x="626" s="1" nd="1"/>
        <i x="542" s="1" nd="1"/>
        <i x="369" s="1" nd="1"/>
        <i x="335" s="1" nd="1"/>
        <i x="175" s="1" nd="1"/>
        <i x="420" s="1" nd="1"/>
        <i x="702" s="1" nd="1"/>
        <i x="698" s="1" nd="1"/>
        <i x="379" s="1" nd="1"/>
        <i x="348" s="1" nd="1"/>
        <i x="150" s="1" nd="1"/>
        <i x="760" s="1" nd="1"/>
        <i x="691" s="1" nd="1"/>
        <i x="21" s="1" nd="1"/>
        <i x="728" s="1" nd="1"/>
        <i x="781" s="1" nd="1"/>
        <i x="640" s="1" nd="1"/>
        <i x="329" s="1" nd="1"/>
        <i x="368" s="1" nd="1"/>
        <i x="815" s="1" nd="1"/>
        <i x="777" s="1" nd="1"/>
        <i x="144" s="1" nd="1"/>
        <i x="498" s="1" nd="1"/>
        <i x="467" s="1" nd="1"/>
        <i x="140" s="1" nd="1"/>
        <i x="757" s="1" nd="1"/>
        <i x="148" s="1" nd="1"/>
        <i x="224" s="1" nd="1"/>
        <i x="721" s="1" nd="1"/>
        <i x="556" s="1" nd="1"/>
        <i x="116" s="1" nd="1"/>
        <i x="376" s="1" nd="1"/>
        <i x="719" s="1" nd="1"/>
        <i x="127" s="1" nd="1"/>
        <i x="33" s="1" nd="1"/>
        <i x="302" s="1" nd="1"/>
        <i x="549" s="1" nd="1"/>
        <i x="60" s="1" nd="1"/>
        <i x="452" s="1" nd="1"/>
        <i x="775" s="1" nd="1"/>
        <i x="485" s="1" nd="1"/>
        <i x="741" s="1" nd="1"/>
        <i x="454" s="1" nd="1"/>
        <i x="521" s="1" nd="1"/>
        <i x="162" s="1" nd="1"/>
        <i x="404" s="1" nd="1"/>
        <i x="742" s="1" nd="1"/>
        <i x="194" s="1" nd="1"/>
        <i x="747" s="1" nd="1"/>
        <i x="384" s="1" nd="1"/>
        <i x="137" s="1" nd="1"/>
        <i x="659" s="1" nd="1"/>
        <i x="430" s="1" nd="1"/>
        <i x="665" s="1" nd="1"/>
        <i x="493" s="1" nd="1"/>
        <i x="686" s="1" nd="1"/>
        <i x="327" s="1" nd="1"/>
        <i x="769" s="1" nd="1"/>
        <i x="804" s="1" nd="1"/>
        <i x="91" s="1" nd="1"/>
        <i x="573" s="1" nd="1"/>
        <i x="157" s="1" nd="1"/>
        <i x="561" s="1" nd="1"/>
        <i x="45" s="1" nd="1"/>
        <i x="724" s="1" nd="1"/>
        <i x="749" s="1" nd="1"/>
        <i x="744" s="1" nd="1"/>
        <i x="847" s="1" nd="1"/>
        <i x="124" s="1" nd="1"/>
        <i x="465" s="1" nd="1"/>
        <i x="701" s="1" nd="1"/>
        <i x="428" s="1" nd="1"/>
        <i x="363" s="1" nd="1"/>
        <i x="100" s="1" nd="1"/>
        <i x="481" s="1" nd="1"/>
        <i x="608" s="1" nd="1"/>
        <i x="716" s="1" nd="1"/>
        <i x="54" s="1" nd="1"/>
        <i x="298" s="1" nd="1"/>
        <i x="683" s="1" nd="1"/>
        <i x="135" s="1" nd="1"/>
        <i x="330" s="1" nd="1"/>
        <i x="536" s="1" nd="1"/>
        <i x="237" s="1" nd="1"/>
        <i x="558" s="1" nd="1"/>
        <i x="547" s="1" nd="1"/>
        <i x="850" s="1" nd="1"/>
        <i x="2" s="1" nd="1"/>
        <i x="272" s="1" nd="1"/>
        <i x="75" s="1" nd="1"/>
        <i x="130" s="1" nd="1"/>
        <i x="655" s="1" nd="1"/>
        <i x="722" s="1" nd="1"/>
        <i x="642" s="1" nd="1"/>
        <i x="231" s="1" nd="1"/>
        <i x="373" s="1" nd="1"/>
        <i x="736" s="1" nd="1"/>
        <i x="132" s="1" nd="1"/>
        <i x="86" s="1" nd="1"/>
        <i x="209" s="1" nd="1"/>
        <i x="682" s="1" nd="1"/>
        <i x="275" s="1" nd="1"/>
        <i x="472" s="1" nd="1"/>
        <i x="800" s="1" nd="1"/>
        <i x="217" s="1" nd="1"/>
        <i x="827" s="1" nd="1"/>
        <i x="69" s="1" nd="1"/>
        <i x="118" s="1" nd="1"/>
        <i x="646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9" s="1" nd="1"/>
        <i x="301" s="1" nd="1"/>
        <i x="309" s="1" nd="1"/>
        <i x="367" s="1" nd="1"/>
        <i x="491" s="1" nd="1"/>
        <i x="663" s="1" nd="1"/>
        <i x="188" s="1" nd="1"/>
        <i x="660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1" s="1" nd="1"/>
        <i x="268" s="1" nd="1"/>
        <i x="752" s="1" nd="1"/>
        <i x="371" s="1" nd="1"/>
        <i x="246" s="1" nd="1"/>
        <i x="398" s="1" nd="1"/>
        <i x="482" s="1" nd="1"/>
        <i x="338" s="1" nd="1"/>
        <i x="613" s="1" nd="1"/>
        <i x="673" s="1" nd="1"/>
        <i x="838" s="1" nd="1"/>
        <i x="50" s="1" nd="1"/>
        <i x="606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10" s="1" nd="1"/>
        <i x="171" s="1" nd="1"/>
        <i x="587" s="1" nd="1"/>
        <i x="227" s="1" nd="1"/>
        <i x="391" s="1" nd="1"/>
        <i x="658" s="1" nd="1"/>
        <i x="310" s="1" nd="1"/>
        <i x="74" s="1" nd="1"/>
        <i x="670" s="1" nd="1"/>
        <i x="94" s="1" nd="1"/>
        <i x="440" s="1" nd="1"/>
        <i x="351" s="1" nd="1"/>
        <i x="785" s="1" nd="1"/>
        <i x="499" s="1" nd="1"/>
        <i x="61" s="1" nd="1"/>
        <i x="456" s="1" nd="1"/>
        <i x="82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1" s="1" nd="1"/>
        <i x="535" s="1" nd="1"/>
        <i x="645" s="1" nd="1"/>
        <i x="610" s="1" nd="1"/>
        <i x="834" s="1" nd="1"/>
        <i x="788" s="1" nd="1"/>
        <i x="28" s="1" nd="1"/>
        <i x="783" s="1" nd="1"/>
        <i x="253" s="1" nd="1"/>
        <i x="475" s="1" nd="1"/>
        <i x="812" s="1" nd="1"/>
        <i x="464" s="1" nd="1"/>
        <i x="746" s="1" nd="1"/>
        <i x="649" s="1" nd="1"/>
        <i x="776" s="1" nd="1"/>
        <i x="71" s="1" nd="1"/>
        <i x="714" s="1" nd="1"/>
        <i x="574" s="1" nd="1"/>
        <i x="184" s="1" nd="1"/>
        <i x="718" s="1" nd="1"/>
        <i x="111" s="1" nd="1"/>
        <i x="254" s="1" nd="1"/>
        <i x="512" s="1" nd="1"/>
        <i x="95" s="1" nd="1"/>
        <i x="523" s="1" nd="1"/>
        <i x="790" s="1" nd="1"/>
        <i x="19" s="1" nd="1"/>
        <i x="538" s="1" nd="1"/>
        <i x="637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0" s="1" nd="1"/>
        <i x="142" s="1" nd="1"/>
        <i x="652" s="1" nd="1"/>
        <i x="605" s="1" nd="1"/>
        <i x="441" s="1" nd="1"/>
        <i x="22" s="1" nd="1"/>
        <i x="595" s="1" nd="1"/>
        <i x="435" s="1" nd="1"/>
        <i x="67" s="1" nd="1"/>
        <i x="656" s="1" nd="1"/>
        <i x="678" s="1" nd="1"/>
        <i x="566" s="1" nd="1"/>
        <i x="515" s="1" nd="1"/>
        <i x="599" s="1" nd="1"/>
        <i x="317" s="1" nd="1"/>
        <i x="782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9" s="1" nd="1"/>
        <i x="567" s="1" nd="1"/>
        <i x="688" s="1" nd="1"/>
        <i x="280" s="1" nd="1"/>
        <i x="525" s="1" nd="1"/>
        <i x="526" s="1" nd="1"/>
        <i x="37" s="1" nd="1"/>
        <i x="593" s="1" nd="1"/>
        <i x="802" s="1" nd="1"/>
        <i x="584" s="1" nd="1"/>
        <i x="750" s="1" nd="1"/>
        <i x="723" s="1" nd="1"/>
        <i x="533" s="1" nd="1"/>
        <i x="46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2" s="1" nd="1"/>
        <i x="200" s="1" nd="1"/>
        <i x="151" s="1" nd="1"/>
        <i x="236" s="1" nd="1"/>
        <i x="503" s="1" nd="1"/>
        <i x="787" s="1" nd="1"/>
        <i x="259" s="1" nd="1"/>
        <i x="753" s="1" nd="1"/>
        <i x="128" s="1" nd="1"/>
        <i x="211" s="1" nd="1"/>
        <i x="833" s="1" nd="1"/>
        <i x="586" s="1" nd="1"/>
        <i x="797" s="1" nd="1"/>
        <i x="727" s="1" nd="1"/>
        <i x="412" s="1" nd="1"/>
        <i x="25" s="1" nd="1"/>
        <i x="342" s="1" nd="1"/>
        <i x="490" s="1" nd="1"/>
        <i x="511" s="1" nd="1"/>
        <i x="770" s="1" nd="1"/>
        <i x="720" s="1" nd="1"/>
        <i x="761" s="1" nd="1"/>
        <i x="520" s="1" nd="1"/>
        <i x="643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5" s="1" nd="1"/>
        <i x="155" s="1" nd="1"/>
        <i x="233" s="1" nd="1"/>
        <i x="238" s="1" nd="1"/>
        <i x="466" s="1" nd="1"/>
        <i x="707" s="1" nd="1"/>
        <i x="620" s="1" nd="1"/>
        <i x="732" s="1" nd="1"/>
        <i x="471" s="1" nd="1"/>
        <i x="552" s="1" nd="1"/>
        <i x="264" s="1" nd="1"/>
        <i x="250" s="1" nd="1"/>
        <i x="633" s="1" nd="1"/>
        <i x="700" s="1" nd="1"/>
        <i x="357" s="1" nd="1"/>
        <i x="13" s="1" nd="1"/>
        <i x="225" s="1" nd="1"/>
        <i x="784" s="1" nd="1"/>
        <i x="725" s="1" nd="1"/>
        <i x="841" s="1" nd="1"/>
        <i x="444" s="1" nd="1"/>
        <i x="193" s="1" nd="1"/>
        <i x="306" s="1" nd="1"/>
        <i x="340" s="1" nd="1"/>
        <i x="96" s="1" nd="1"/>
        <i x="695" s="1" nd="1"/>
        <i x="305" s="1" nd="1"/>
        <i x="355" s="1" nd="1"/>
        <i x="402" s="1" nd="1"/>
        <i x="618" s="1" nd="1"/>
        <i x="614" s="1" nd="1"/>
        <i x="778" s="1" nd="1"/>
        <i x="394" s="1" nd="1"/>
        <i x="400" s="1" nd="1"/>
        <i x="705" s="1" nd="1"/>
        <i x="403" s="1" nd="1"/>
        <i x="830" s="1" nd="1"/>
        <i x="495" s="1" nd="1"/>
        <i x="395" s="1" nd="1"/>
        <i x="671" s="1" nd="1"/>
        <i x="185" s="1" nd="1"/>
        <i x="409" s="1" nd="1"/>
        <i x="474" s="1" nd="1"/>
        <i x="837" s="1" nd="1"/>
        <i x="125" s="1" nd="1"/>
        <i x="152" s="1" nd="1"/>
        <i x="594" s="1" nd="1"/>
        <i x="779" s="1" nd="1"/>
        <i x="612" s="1" nd="1"/>
        <i x="560" s="1" nd="1"/>
        <i x="308" s="1" nd="1"/>
        <i x="654" s="1" nd="1"/>
        <i x="726" s="1" nd="1"/>
        <i x="405" s="1" nd="1"/>
        <i x="745" s="1" nd="1"/>
        <i x="79" s="1" nd="1"/>
        <i x="51" s="1" nd="1"/>
        <i x="851" s="1" nd="1"/>
        <i x="29" s="1" nd="1"/>
        <i x="571" s="1" nd="1"/>
        <i x="513" s="1" nd="1"/>
        <i x="413" s="1" nd="1"/>
        <i x="703" s="1" nd="1"/>
        <i x="204" s="1" nd="1"/>
        <i x="644" s="1" nd="1"/>
        <i x="780" s="1" nd="1"/>
        <i x="468" s="1" nd="1"/>
        <i x="40" s="1" nd="1"/>
        <i x="694" s="1" nd="1"/>
        <i x="664" s="1" nd="1"/>
        <i x="808" s="1" nd="1"/>
        <i x="816" s="1" nd="1"/>
        <i x="625" s="1" nd="1"/>
        <i x="459" s="1" nd="1"/>
        <i x="692" s="1" nd="1"/>
        <i x="134" s="1" nd="1"/>
        <i x="410" s="1" nd="1"/>
        <i x="693" s="1" nd="1"/>
        <i x="442" s="1" nd="1"/>
        <i x="361" s="1" nd="1"/>
        <i x="706" s="1" nd="1"/>
        <i x="303" s="1" nd="1"/>
        <i x="189" s="1" nd="1"/>
        <i x="681" s="1" nd="1"/>
        <i x="283" s="1" nd="1"/>
        <i x="219" s="1" nd="1"/>
        <i x="319" s="1" nd="1"/>
        <i x="255" s="1" nd="1"/>
        <i x="192" s="1" nd="1"/>
        <i x="730" s="1" nd="1"/>
        <i x="385" s="1" nd="1"/>
        <i x="577" s="1" nd="1"/>
        <i x="360" s="1" nd="1"/>
        <i x="451" s="1" nd="1"/>
        <i x="514" s="1" nd="1"/>
        <i x="122" s="1" nd="1"/>
        <i x="647" s="1" nd="1"/>
        <i x="48" s="1" nd="1"/>
        <i x="416" s="1" nd="1"/>
        <i x="145" s="1" nd="1"/>
        <i x="729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80" s="1" nd="1"/>
        <i x="81" s="1" nd="1"/>
        <i x="635" s="1" nd="1"/>
        <i x="66" s="1" nd="1"/>
        <i x="651" s="1" nd="1"/>
        <i x="489" s="1" nd="1"/>
        <i x="754" s="1" nd="1"/>
        <i x="163" s="1" nd="1"/>
        <i x="191" s="1" nd="1"/>
        <i x="679" s="1" nd="1"/>
        <i x="299" s="1" nd="1"/>
        <i x="589" s="1" nd="1"/>
        <i x="179" s="1" nd="1"/>
        <i x="624" s="1" nd="1"/>
        <i x="63" s="1" nd="1"/>
        <i x="424" s="1" nd="1"/>
        <i x="26" s="1" nd="1"/>
        <i x="766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4" s="1" nd="1"/>
        <i x="297" s="1" nd="1"/>
        <i x="397" s="1" nd="1"/>
        <i x="229" s="1" nd="1"/>
        <i x="7" s="1" nd="1"/>
        <i x="473" s="1" nd="1"/>
        <i x="824" s="1" nd="1"/>
        <i x="35" s="1" nd="1"/>
        <i x="311" s="1" nd="1"/>
        <i x="825" s="1" nd="1"/>
        <i x="563" s="1" nd="1"/>
        <i x="62" s="1" nd="1"/>
        <i x="569" s="1" nd="1"/>
        <i x="431" s="1" nd="1"/>
        <i x="426" s="1" nd="1"/>
        <i x="176" s="1" nd="1"/>
        <i x="366" s="1" nd="1"/>
        <i x="759" s="1" nd="1"/>
        <i x="601" s="1" nd="1"/>
        <i x="12" s="1" nd="1"/>
        <i x="92" s="1" nd="1"/>
        <i x="438" s="1" nd="1"/>
        <i x="434" s="1" nd="1"/>
        <i x="121" s="1" nd="1"/>
        <i x="631" s="1" nd="1"/>
        <i x="201" s="1" nd="1"/>
        <i x="156" s="1" nd="1"/>
        <i x="55" s="1" nd="1"/>
        <i x="548" s="1" nd="1"/>
        <i x="619" s="1" nd="1"/>
        <i x="99" s="1" nd="1"/>
        <i x="767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600" s="1" nd="1"/>
        <i x="190" s="1" nd="1"/>
        <i x="226" s="1" nd="1"/>
        <i x="842" s="1" nd="1"/>
        <i x="836" s="1" nd="1"/>
        <i x="492" s="1" nd="1"/>
        <i x="685" s="1" nd="1"/>
        <i x="243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8" s="1" nd="1"/>
        <i x="19" s="1" nd="1"/>
        <i x="3" s="1" nd="1"/>
        <i x="23" s="1" nd="1"/>
        <i x="6" s="1" nd="1"/>
        <i x="22" s="1" nd="1"/>
        <i x="21" s="1" nd="1"/>
        <i x="12" s="1" nd="1"/>
        <i x="17" s="1" nd="1"/>
        <i x="20" s="1" nd="1"/>
        <i x="2" s="1" nd="1"/>
        <i x="25" s="1" nd="1"/>
        <i x="11" s="1" nd="1"/>
        <i x="14" s="1" nd="1"/>
        <i x="10" s="1" nd="1"/>
        <i x="8" s="1" nd="1"/>
        <i x="2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0" totalsRowShown="0" headerRowDxfId="92" dataDxfId="90" headerRowBorderDxfId="91" tableBorderDxfId="89" totalsRowBorderDxfId="88">
  <autoFilter ref="A1:D390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302717</v>
      </c>
      <c r="B2" s="12" t="s">
        <v>609</v>
      </c>
      <c r="C2" s="14">
        <v>46290</v>
      </c>
      <c r="D2" s="14">
        <v>46290</v>
      </c>
      <c r="E2" s="12"/>
      <c r="F2" s="15" t="s">
        <v>610</v>
      </c>
      <c r="G2" s="15" t="s">
        <v>611</v>
      </c>
      <c r="H2" s="15" t="s">
        <v>612</v>
      </c>
      <c r="I2" s="16">
        <v>361099.88</v>
      </c>
      <c r="J2" s="15" t="s">
        <v>613</v>
      </c>
      <c r="K2" s="15" t="s">
        <v>614</v>
      </c>
      <c r="L2" s="15" t="s">
        <v>615</v>
      </c>
      <c r="M2" s="15">
        <v>7559.78</v>
      </c>
      <c r="N2" s="15">
        <v>41</v>
      </c>
      <c r="O2" s="16">
        <v>676.6</v>
      </c>
      <c r="P2" s="15" t="s">
        <v>616</v>
      </c>
      <c r="Q2" s="15">
        <v>0</v>
      </c>
      <c r="R2" s="15" t="s">
        <v>617</v>
      </c>
      <c r="S2" s="15">
        <v>298.81</v>
      </c>
      <c r="T2" s="15" t="s">
        <v>618</v>
      </c>
      <c r="U2" s="15">
        <v>0</v>
      </c>
      <c r="V2" s="15">
        <v>0</v>
      </c>
      <c r="W2" s="15">
        <v>0</v>
      </c>
      <c r="X2" s="15">
        <v>0</v>
      </c>
      <c r="Y2" s="15">
        <v>180.55</v>
      </c>
      <c r="Z2" s="15">
        <v>16.11</v>
      </c>
      <c r="AA2" s="15">
        <v>2369.58</v>
      </c>
      <c r="AB2" s="15">
        <v>5190.2</v>
      </c>
      <c r="AC2" s="15">
        <v>1965.54</v>
      </c>
      <c r="AD2" s="15">
        <v>3224.66</v>
      </c>
      <c r="AE2" s="15">
        <v>0</v>
      </c>
      <c r="AF2" s="15">
        <v>3224.66</v>
      </c>
      <c r="AG2" s="17">
        <v>0.42659999999999998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7559.78</v>
      </c>
      <c r="F3" s="93"/>
      <c r="G3" s="94"/>
      <c r="H3" s="95">
        <f>'Resumo Detalhado'!C2</f>
        <v>676.6</v>
      </c>
      <c r="I3" s="96"/>
      <c r="J3" s="97">
        <f>E3/H3</f>
        <v>11.173189476795743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0.19331428571428572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1400</v>
      </c>
      <c r="F7" s="109"/>
      <c r="G7" s="109"/>
      <c r="H7" s="109"/>
      <c r="I7" s="109"/>
      <c r="J7" s="109">
        <f>E7/H3</f>
        <v>2.0691693762932308</v>
      </c>
      <c r="K7" s="109"/>
      <c r="L7" s="109"/>
      <c r="M7" s="110">
        <f>E7/E3</f>
        <v>0.18519057432888258</v>
      </c>
      <c r="N7" s="110"/>
      <c r="O7" s="110"/>
      <c r="P7" s="109">
        <f>E11+K11+Q11+E15+K15+Q15+E19+H19+K19</f>
        <v>3644.8972000000003</v>
      </c>
      <c r="Q7" s="109"/>
      <c r="R7" s="109"/>
      <c r="S7" s="109">
        <f>P7/H3</f>
        <v>5.3870783328406739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1400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1400</v>
      </c>
      <c r="L11" s="94"/>
      <c r="M11" s="38"/>
      <c r="N11" s="92">
        <f>K11/H3</f>
        <v>2.0691693762932308</v>
      </c>
      <c r="O11" s="94"/>
      <c r="P11" s="38"/>
      <c r="Q11" s="92">
        <f>'Resumo Detalhado'!D2</f>
        <v>0</v>
      </c>
      <c r="R11" s="94"/>
      <c r="S11" s="38"/>
      <c r="T11" s="92">
        <f>Q11/H3</f>
        <v>0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0</v>
      </c>
      <c r="F15" s="113"/>
      <c r="G15" s="113"/>
      <c r="H15" s="113"/>
      <c r="I15" s="114"/>
      <c r="J15" s="38"/>
      <c r="K15" s="116">
        <f>'Resumo Detalhado'!K2+'Resumo Detalhado'!L2</f>
        <v>1209.5647999999999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180.55</v>
      </c>
      <c r="F19" s="119"/>
      <c r="G19" s="38"/>
      <c r="H19" s="106">
        <v>250</v>
      </c>
      <c r="I19" s="108"/>
      <c r="J19" s="38"/>
      <c r="K19" s="106">
        <f>'Resumo Detalhado'!L2</f>
        <v>604.78239999999994</v>
      </c>
      <c r="L19" s="108"/>
      <c r="M19" s="38"/>
      <c r="N19" s="112" t="s">
        <v>608</v>
      </c>
      <c r="O19" s="113"/>
      <c r="P19" s="113"/>
      <c r="Q19" s="113"/>
      <c r="R19" s="119"/>
      <c r="S19" s="112">
        <f>_xlfn.XLOOKUP(N19,Target!C:C,Target!D:D)</f>
        <v>1650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6459.5275999999994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0.85445973295519173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7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619</v>
      </c>
      <c r="F1" s="29"/>
    </row>
    <row r="2" spans="1:18" x14ac:dyDescent="0.3">
      <c r="B2" s="29">
        <f>SUM(B6:B5000)</f>
        <v>7559.78</v>
      </c>
      <c r="C2" s="29">
        <f>SUM(C6:C5000)</f>
        <v>676.6</v>
      </c>
      <c r="D2" s="29">
        <f>SUM(D6:D5000)</f>
        <v>0</v>
      </c>
      <c r="E2" s="29">
        <f>SUM(E6:E5000)</f>
        <v>298.81</v>
      </c>
      <c r="F2" s="29">
        <f>SUM(F6:F5000)</f>
        <v>0</v>
      </c>
      <c r="G2" s="29"/>
      <c r="H2" s="29">
        <f t="shared" ref="H2:P2" si="0">SUM(H6:H5000)</f>
        <v>0</v>
      </c>
      <c r="I2" s="29">
        <f t="shared" si="0"/>
        <v>180.55</v>
      </c>
      <c r="J2" s="29">
        <f t="shared" si="0"/>
        <v>16.11</v>
      </c>
      <c r="K2" s="29">
        <f t="shared" si="0"/>
        <v>604.78239999999994</v>
      </c>
      <c r="L2" s="29">
        <f t="shared" si="0"/>
        <v>604.78239999999994</v>
      </c>
      <c r="M2" s="29">
        <f t="shared" si="0"/>
        <v>0</v>
      </c>
      <c r="N2" s="29">
        <f t="shared" si="0"/>
        <v>6459.5275999999994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302717</v>
      </c>
      <c r="B6" s="139">
        <v>7559.78</v>
      </c>
      <c r="C6" s="140">
        <v>676.6</v>
      </c>
      <c r="D6" s="139">
        <v>0</v>
      </c>
      <c r="E6" s="139">
        <v>298.81</v>
      </c>
      <c r="F6" s="139">
        <v>0</v>
      </c>
      <c r="G6" s="141">
        <v>3.952628251086672E-2</v>
      </c>
      <c r="H6" s="139">
        <v>0</v>
      </c>
      <c r="I6" s="139">
        <v>180.55</v>
      </c>
      <c r="J6" s="139">
        <v>16.11</v>
      </c>
      <c r="K6" s="139">
        <v>604.78239999999994</v>
      </c>
      <c r="L6" s="139">
        <v>604.78239999999994</v>
      </c>
      <c r="M6" s="139">
        <v>0</v>
      </c>
      <c r="N6" s="139">
        <v>6459.5275999999994</v>
      </c>
      <c r="O6" s="141">
        <v>0.85445973295519173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619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611</v>
      </c>
      <c r="B5" s="10">
        <v>7559.78</v>
      </c>
      <c r="C5" s="10">
        <v>6459.5275999999994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0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2026-09-30T13:03:29Z</dcterms:modified>
  <cp:category/>
  <cp:contentStatus/>
</cp:coreProperties>
</file>