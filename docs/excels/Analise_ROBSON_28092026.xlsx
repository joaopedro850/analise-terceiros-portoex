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2091210-AEDC-4363-8CC0-4C7EE015EB78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<sst xmlns="http://schemas.openxmlformats.org/spreadsheetml/2006/main" count="911" uniqueCount="631">
  <si>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</si>
  <si>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</si>
  <si>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</si>
  <si>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</si>
  <si>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</si>
  <si>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</si>
  <si>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</si>
  <si>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</si>
  <si>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</si>
  <si>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</si>
  <si>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</si>
  <si>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</si>
  <si>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</si>
  <si>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</si>
  <si>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</si>
  <si>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</si>
  <si>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</si>
  <si>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</si>
  <si>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</si>
  <si>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</si>
  <si>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</si>
  <si>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</si>
  <si>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</si>
  <si>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</si>
  <si>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</si>
  <si>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</si>
  <si>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</si>
  <si>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</si>
  <si>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</si>
  <si>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</si>
  <si>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</si>
  <si>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</si>
  <si>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</si>
  <si>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</si>
  <si>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</si>
  <si>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</si>
  <si>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</si>
  <si>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</si>
  <si>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</si>
  <si>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</si>
  <si>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</si>
  <si>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</si>
  <si>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</si>
  <si>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</si>
  <si>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</si>
  <si>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</si>
  <si>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</si>
  <si>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</si>
  <si>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</si>
  <si>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</si>
  <si>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</si>
  <si>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</si>
  <si>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</si>
  <si>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</si>
  <si>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</si>
  <si>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</si>
  <si>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</si>
  <si>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</si>
  <si>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</si>
  <si>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</si>
  <si>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</si>
  <si>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</si>
  <si>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</si>
  <si>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</si>
  <si>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</si>
  <si>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</si>
  <si>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</si>
  <si>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</si>
  <si>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</si>
  <si>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</si>
  <si>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</si>
  <si>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</si>
  <si>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</si>
  <si>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</si>
  <si>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</si>
  <si>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</si>
  <si>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</si>
  <si>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</si>
  <si>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</si>
  <si>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</si>
  <si>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</si>
  <si>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</si>
  <si>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</si>
  <si>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</si>
  <si>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</si>
  <si>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</si>
  <si>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</si>
  <si>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</si>
  <si>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</si>
  <si>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</si>
  <si>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</si>
  <si>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</si>
  <si>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</si>
  <si>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</si>
  <si>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</si>
  <si>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</si>
  <si>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</si>
  <si>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</si>
  <si>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</si>
  <si>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</si>
  <si>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</si>
  <si>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</si>
  <si>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</si>
  <si>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</si>
  <si>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</si>
  <si>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</si>
  <si>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</si>
  <si>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</si>
  <si>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</si>
  <si>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</si>
  <si>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</si>
  <si>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</si>
  <si>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</si>
  <si>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</si>
  <si>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</si>
  <si>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</si>
  <si>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</si>
  <si>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</si>
  <si>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</si>
  <si>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</si>
  <si>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</si>
  <si>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</si>
  <si>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</si>
  <si>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</si>
  <si>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</si>
  <si>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</si>
  <si>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</si>
  <si>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</si>
  <si>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</si>
  <si>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</si>
  <si>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</si>
  <si>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</si>
  <si>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</si>
  <si>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</si>
  <si>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</si>
  <si>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</si>
  <si>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</si>
  <si>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</si>
  <si>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</si>
  <si>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</si>
  <si>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</si>
  <si>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</si>
  <si>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</si>
  <si>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</si>
  <si>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</si>
  <si>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</si>
  <si>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</si>
  <si>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</si>
  <si>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</si>
  <si>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</si>
  <si>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</si>
  <si>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</si>
  <si>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</si>
  <si>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</si>
  <si>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</si>
  <si>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</si>
  <si>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</si>
  <si>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</si>
  <si>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</si>
  <si>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</si>
  <si>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</si>
  <si>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</si>
  <si>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</si>
  <si>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</si>
  <si>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</si>
  <si>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</si>
  <si>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</si>
  <si>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</si>
  <si>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</si>
  <si>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</si>
  <si>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</si>
  <si>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</si>
  <si>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</si>
  <si>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</si>
  <si>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</si>
  <si>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</si>
  <si>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</si>
  <si>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</si>
  <si>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</si>
  <si>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</si>
  <si>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</si>
  <si>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</si>
  <si>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</si>
  <si>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</si>
  <si>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</si>
  <si>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</si>
  <si>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</si>
  <si>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</si>
  <si>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</si>
  <si>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</si>
  <si>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</si>
  <si>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</si>
  <si>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</si>
  <si>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</si>
  <si>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</si>
  <si>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</si>
  <si>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</si>
  <si>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</si>
  <si>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</si>
  <si>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</si>
  <si>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</si>
  <si>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</si>
  <si>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</si>
  <si>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</si>
  <si>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</si>
  <si>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</si>
  <si>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</si>
  <si>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</si>
  <si>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</si>
  <si>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</si>
  <si>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</si>
  <si>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</si>
  <si>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</si>
  <si>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</si>
  <si>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</si>
  <si>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</si>
  <si>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</si>
  <si>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</si>
  <si>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</si>
  <si>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</si>
  <si>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</si>
  <si>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</si>
  <si>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</si>
  <si>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</si>
  <si>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</si>
  <si>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</si>
  <si>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</si>
  <si>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</si>
  <si>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</si>
  <si>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</si>
  <si>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</si>
  <si>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</si>
  <si>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</si>
  <si>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</si>
  <si>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</si>
  <si>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</si>
  <si>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</si>
  <si>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</si>
  <si>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</si>
  <si>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</si>
  <si>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</si>
  <si>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</si>
  <si>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</si>
  <si>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</si>
  <si>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</si>
  <si>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</si>
  <si>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</si>
  <si>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</si>
  <si>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</si>
  <si>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</si>
  <si>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</si>
  <si>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</si>
  <si>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</si>
  <si>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</si>
  <si>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</si>
  <si>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</si>
  <si>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</si>
  <si>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</si>
  <si>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</si>
  <si>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</si>
  <si>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</si>
  <si>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</si>
  <si>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</si>
  <si>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</si>
  <si>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</si>
  <si>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</si>
  <si>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</si>
  <si>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</si>
  <si>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</si>
  <si>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</si>
  <si>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</si>
  <si>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</si>
  <si>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</si>
  <si>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</si>
  <si>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</si>
  <si>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</si>
  <si>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</si>
  <si>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</si>
  <si>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</si>
  <si>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</si>
  <si>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</si>
  <si>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</si>
  <si>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</si>
  <si>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</si>
  <si>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</si>
  <si>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</si>
  <si>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</si>
  <si>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</si>
  <si>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</si>
  <si>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</si>
  <si>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</si>
  <si>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</si>
  <si>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</si>
  <si>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</si>
  <si>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</si>
  <si>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</si>
  <si>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</si>
  <si>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</si>
  <si>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</si>
  <si>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</si>
  <si>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</si>
  <si>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</si>
  <si>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</si>
  <si>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</si>
  <si>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</si>
  <si>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</si>
  <si>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</si>
  <si>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</si>
  <si>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</si>
  <si>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</si>
  <si>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</si>
  <si>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</si>
  <si>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</si>
  <si>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</si>
  <si>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</si>
  <si>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</si>
  <si>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</si>
  <si>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</si>
  <si>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</si>
  <si>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</si>
  <si>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</si>
  <si>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</si>
  <si>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</si>
  <si>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</si>
  <si>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</si>
  <si>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</si>
  <si>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</si>
  <si>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</si>
  <si>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</si>
  <si>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</si>
  <si>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</si>
  <si>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</si>
  <si>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</si>
  <si>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</si>
  <si>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</si>
  <si>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</si>
  <si>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</si>
  <si>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</si>
  <si>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</si>
  <si>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</si>
  <si>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</si>
  <si>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</si>
  <si>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</si>
  <si>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</si>
  <si>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</si>
  <si>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</si>
  <si>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</si>
  <si>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</si>
  <si>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</si>
  <si>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</si>
  <si>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</si>
  <si>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</si>
  <si>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</si>
  <si>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</si>
  <si>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</si>
  <si>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</si>
  <si>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</si>
  <si>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</si>
  <si>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</si>
  <si>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</si>
  <si>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</si>
  <si>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</si>
  <si>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</si>
  <si>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</si>
  <si>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</si>
  <si>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</si>
  <si>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</si>
  <si>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</si>
  <si>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</si>
  <si>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</si>
  <si>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</si>
  <si>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</si>
  <si>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</si>
  <si>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</si>
  <si>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</si>
  <si>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</si>
  <si>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</si>
  <si>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</si>
  <si>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</si>
  <si>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</si>
  <si>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</si>
  <si>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</si>
  <si>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</si>
  <si>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</si>
  <si>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</si>
  <si>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</si>
  <si>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</si>
  <si>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</si>
  <si>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</si>
  <si>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</si>
  <si>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</si>
  <si>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</si>
  <si>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</si>
  <si>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</si>
  <si>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</si>
  <si>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</si>
  <si>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</si>
  <si>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</si>
  <si>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</si>
  <si>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</si>
  <si>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</si>
  <si>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</si>
  <si>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</si>
  <si>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</si>
  <si>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</si>
  <si>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</si>
  <si>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</si>
  <si>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</si>
  <si>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</si>
  <si>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</si>
  <si>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</si>
  <si>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</si>
  <si>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</si>
  <si>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</si>
  <si>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</si>
  <si>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</si>
  <si>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</si>
  <si>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</si>
  <si>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</si>
  <si>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</si>
  <si>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</si>
  <si>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</si>
  <si>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</si>
  <si>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</si>
  <si>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</si>
  <si>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</si>
  <si>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</si>
  <si>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</si>
  <si>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</si>
  <si>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</si>
  <si>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</si>
  <si>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</si>
  <si>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</si>
  <si>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</si>
  <si>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</si>
  <si>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</si>
  <si>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</si>
  <si>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</si>
  <si>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</si>
  <si>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</si>
  <si>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</si>
  <si>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</si>
  <si>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</si>
  <si>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</si>
  <si>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</si>
  <si>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</si>
  <si>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</si>
  <si>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</si>
  <si>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</si>
  <si>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</si>
  <si>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</si>
  <si>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</si>
  <si>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</si>
  <si>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</si>
  <si>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</si>
  <si>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</si>
  <si>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</si>
  <si>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</si>
  <si>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</si>
  <si>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</si>
  <si>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</si>
  <si>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</si>
  <si>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</si>
  <si>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</si>
  <si>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</si>
  <si>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</si>
  <si>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</si>
  <si>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</si>
  <si>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</si>
  <si>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</si>
  <si>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</si>
  <si>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</si>
  <si>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</si>
  <si>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</si>
  <si>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</si>
  <si>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</si>
  <si>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</si>
  <si>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</si>
  <si>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</si>
  <si>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</si>
  <si>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</si>
  <si>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</si>
  <si>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</si>
  <si>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</si>
  <si>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</si>
  <si>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</si>
  <si>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</si>
  <si>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</si>
  <si>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</si>
  <si>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</si>
  <si>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</si>
  <si>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</si>
  <si>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</si>
  <si>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</si>
  <si>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</si>
  <si>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</si>
  <si>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</si>
  <si>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</si>
  <si>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</si>
  <si>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</si>
  <si>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</si>
  <si>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</si>
  <si>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</si>
  <si>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</si>
  <si>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</si>
  <si>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</si>
  <si>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</si>
  <si>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</si>
  <si>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</si>
  <si>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</si>
  <si>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</si>
  <si>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</si>
  <si>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</si>
  <si>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</si>
  <si>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</si>
  <si>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</si>
  <si>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</si>
  <si>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</si>
  <si>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</si>
  <si>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</si>
  <si>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</si>
  <si>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</si>
  <si>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</si>
  <si>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</si>
  <si>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</si>
  <si>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</si>
  <si>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</si>
  <si>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</si>
  <si>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</si>
  <si>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</si>
  <si>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</si>
  <si>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</si>
  <si>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</si>
  <si>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</si>
  <si>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</si>
  <si>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</si>
  <si>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</si>
  <si>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</si>
  <si>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</si>
  <si>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</si>
  <si>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</si>
  <si>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</si>
  <si>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</si>
  <si>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</si>
  <si>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</si>
  <si>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</si>
  <si>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</si>
  <si>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</si>
  <si>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</si>
  <si>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</si>
  <si>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</si>
  <si>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</si>
  <si>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</si>
  <si>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</si>
  <si>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</si>
  <si>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</si>
  <si>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</si>
  <si>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</si>
  <si>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</si>
  <si>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</si>
  <si>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</si>
  <si>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</si>
  <si>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</si>
  <si>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</si>
  <si>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</si>
  <si>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</si>
  <si>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</si>
  <si>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</si>
  <si>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</si>
  <si>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</si>
  <si>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</si>
  <si>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</si>
  <si>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</si>
  <si>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</si>
  <si>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</si>
  <si>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</si>
  <si>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</si>
  <si>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</si>
  <si>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</si>
  <si>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</si>
  <si>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</si>
  <si>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</si>
  <si>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</si>
  <si>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</si>
  <si>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</si>
  <si>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</si>
  <si>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</si>
  <si>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</si>
  <si>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</si>
  <si>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</si>
  <si>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</si>
  <si>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</si>
  <si>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</si>
  <si>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</si>
  <si>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</si>
  <si>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</si>
  <si>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</si>
  <si>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</si>
  <si>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</si>
  <si>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</si>
  <si>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</si>
  <si>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</si>
  <si>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</si>
  <si>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</si>
  <si>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</si>
  <si>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</si>
  <si>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</si>
  <si>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</si>
  <si>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</si>
  <si>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</si>
  <si>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</si>
  <si>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</si>
  <si>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</si>
  <si>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</si>
  <si>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MATRIZ</t>
  </si>
  <si>
    <t>203871-1</t>
  </si>
  <si>
    <t>SAMSONITE BRASI</t>
  </si>
  <si>
    <t>MARLON MARQUES</t>
  </si>
  <si>
    <t>EXPRESSO_200</t>
  </si>
  <si>
    <t>CTE NORMAL</t>
  </si>
  <si>
    <t>CAJAMAR - SP</t>
  </si>
  <si>
    <t>RAFAEL VICENTE</t>
  </si>
  <si>
    <t>N/D</t>
  </si>
  <si>
    <t>ROBSON RIBEIRO</t>
  </si>
  <si>
    <t>FILIAL SP</t>
  </si>
  <si>
    <t>37922-1</t>
  </si>
  <si>
    <t>PLOT SERVICOS C</t>
  </si>
  <si>
    <t>CAIO LUCIANO MATIAS</t>
  </si>
  <si>
    <t>PERSONALIZADO_L</t>
  </si>
  <si>
    <t>SAO GONCALO DO RIO ABAIXO - MG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</si>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</sst>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[Analise_ROBSON_28092026.xlsx]Resumo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6038.66</c:v>
                </c:pt>
                <c:pt idx="1">
                  <c:v>970.55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3651.607199999999</c:v>
                </c:pt>
                <c:pt idx="1">
                  <c:v>740.86599999999999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[Analise_ROBSON_28092026.xlsx]Resumo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6038.66</c:v>
                </c:pt>
                <c:pt idx="1">
                  <c:v>970.55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3651.607199999999</c:v>
                </c:pt>
                <c:pt idx="1">
                  <c:v>740.86599999999999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0485092592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849" count="8000">
        <n v="302648"/>
        <n v="30284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5T00:00:00" maxDate="2026-09-26T00:00:00"/>
    </cacheField>
    <cacheField name="DATA" numFmtId="14">
      <sharedItems containsNonDate="0" containsDate="1" containsString="0" containsBlank="1" minDate="2026-09-25T00:00:00" maxDate="2026-09-2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PLOT SERVICOS 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565.58" maxValue="445600"/>
    </cacheField>
    <cacheField name="SERVICO" numFmtId="0">
      <sharedItems containsBlank="1" count="27">
        <s v="EXPRESSO_20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70.55" maxValue="6038.66"/>
    </cacheField>
    <cacheField name="VOLUMES" numFmtId="0">
      <sharedItems containsString="0" containsBlank="1" containsNumber="1" containsInteger="1" minValue="21" maxValue="32"/>
    </cacheField>
    <cacheField name="PESO" numFmtId="0">
      <sharedItems containsString="0" containsBlank="1" containsNumber="1" minValue="462.8" maxValue="814.5"/>
    </cacheField>
    <cacheField name="RESP. COLETA" numFmtId="0">
      <sharedItems containsBlank="1"/>
    </cacheField>
    <cacheField name="CUSTO COLETA" numFmtId="0">
      <sharedItems containsString="0" containsBlank="1" containsNumber="1" minValue="18.77" maxValue="797.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16.47" maxValue="724.6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.78" maxValue="222.8"/>
    </cacheField>
    <cacheField name="OUTROS" numFmtId="0">
      <sharedItems containsString="0" containsBlank="1" containsNumber="1" minValue="0" maxValue="11.02"/>
    </cacheField>
    <cacheField name="C.TOTAL" numFmtId="0">
      <sharedItems containsString="0" containsBlank="1" containsNumber="1" minValue="1420.18" maxValue="3976.4"/>
    </cacheField>
    <cacheField name="RECEITA" numFmtId="0">
      <sharedItems containsString="0" containsBlank="1" containsNumber="1" minValue="-449.63" maxValue="2062.2600000000002"/>
    </cacheField>
    <cacheField name="IMPOSTO" numFmtId="0">
      <sharedItems containsString="0" containsBlank="1" containsNumber="1" minValue="252.34" maxValue="1570.05"/>
    </cacheField>
    <cacheField name="RESULTADO" numFmtId="0">
      <sharedItems containsString="0" containsBlank="1" containsNumber="1" minValue="-701.97" maxValue="492.21000000000004"/>
    </cacheField>
    <cacheField name="COMIS" numFmtId="0">
      <sharedItems containsString="0" containsBlank="1" containsNumber="1" minValue="0" maxValue="159.41999999999999"/>
    </cacheField>
    <cacheField name="LUCRO LIQ" numFmtId="0">
      <sharedItems containsString="0" containsBlank="1" containsNumber="1" minValue="-701.97" maxValue="332.79"/>
    </cacheField>
    <cacheField name="MARGEM" numFmtId="10">
      <sharedItems containsString="0" containsBlank="1" containsNumber="1" minValue="-0.72329999999999994" maxValue="5.5099999999999996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5T00:00:00"/>
    <d v="2026-09-25T00:00:00"/>
    <m/>
    <s v="203871-1"/>
    <x v="0"/>
    <s v="MARLON MARQUES"/>
    <n v="11565.58"/>
    <x v="0"/>
    <s v="CTE NORMAL"/>
    <s v="CAJAMAR - SP"/>
    <n v="970.55"/>
    <n v="21"/>
    <n v="462.8"/>
    <s v="RAFAEL VICENTE"/>
    <n v="18.77"/>
    <s v="N/D"/>
    <n v="0"/>
    <s v="ROBSON RIBEIRO"/>
    <n v="0"/>
    <n v="116.47"/>
    <n v="0"/>
    <n v="0"/>
    <n v="5.78"/>
    <n v="11.02"/>
    <n v="1420.18"/>
    <n v="-449.63"/>
    <n v="252.34"/>
    <n v="-701.97"/>
    <n v="0"/>
    <n v="-701.97"/>
    <n v="-0.72329999999999994"/>
    <m/>
  </r>
  <r>
    <x v="1"/>
    <s v="FILIAL SP"/>
    <m/>
    <d v="2026-09-28T00:00:00"/>
    <m/>
    <s v="37922-1"/>
    <x v="1"/>
    <s v="CAIO LUCIANO MATIAS"/>
    <n v="445600"/>
    <x v="1"/>
    <s v="CTE NORMAL"/>
    <s v="SAO GONCALO DO RIO ABAIXO - MG"/>
    <n v="6038.66"/>
    <n v="32"/>
    <n v="814.5"/>
    <s v="FILIAL SP"/>
    <n v="797.1"/>
    <s v="N/D"/>
    <n v="0"/>
    <s v="ROBSON RIBEIRO"/>
    <n v="0"/>
    <n v="724.64"/>
    <n v="0"/>
    <n v="0"/>
    <n v="222.8"/>
    <n v="0"/>
    <n v="3976.4"/>
    <n v="2062.2600000000002"/>
    <n v="1570.05"/>
    <n v="492.21000000000004"/>
    <n v="159.41999999999999"/>
    <n v="332.79"/>
    <n v="5.5099999999999996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6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x="1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4"/>
        <item m="1" x="48"/>
        <item m="1" x="89"/>
        <item sd="0" m="1" x="201"/>
        <item m="1" x="38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5"/>
        <item m="1" x="25"/>
        <item m="1" x="20"/>
        <item x="2"/>
        <item m="1" x="8"/>
        <item m="1" x="3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03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6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x="1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4"/>
        <item m="1" x="48"/>
        <item m="1" x="89"/>
        <item sd="0" m="1" x="201"/>
        <item m="1" x="38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5"/>
        <item m="1" x="25"/>
        <item m="1" x="20"/>
        <item x="2"/>
        <item m="1" x="8"/>
        <item m="1" x="3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03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6" s="1" nd="1"/>
        <i x="387" s="1" nd="1"/>
        <i x="369" s="1" nd="1"/>
        <i x="615" s="1" nd="1"/>
        <i x="56" s="1" nd="1"/>
        <i x="707" s="1" nd="1"/>
        <i x="23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2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4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20" s="1" nd="1"/>
        <i x="4" s="1" nd="1"/>
        <i x="23" s="1" nd="1"/>
        <i x="7" s="1" nd="1"/>
        <i x="22" s="1" nd="1"/>
        <i x="21" s="1" nd="1"/>
        <i x="13" s="1" nd="1"/>
        <i x="19" s="1" nd="1"/>
        <i x="3" s="1" nd="1"/>
        <i x="25" s="1" nd="1"/>
        <i x="12" s="1" nd="1"/>
        <i x="15" s="1" nd="1"/>
        <i x="11" s="1" nd="1"/>
        <i x="9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3" totalsRowShown="0" headerRowDxfId="92" dataDxfId="90" headerRowBorderDxfId="91" tableBorderDxfId="89" totalsRowBorderDxfId="88">
  <autoFilter ref="A1:D393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302648</v>
      </c>
      <c r="B2" s="12" t="s">
        <v>614</v>
      </c>
      <c r="C2" s="14">
        <v>46290</v>
      </c>
      <c r="D2" s="14">
        <v>46290</v>
      </c>
      <c r="E2" s="12"/>
      <c r="F2" s="15" t="s">
        <v>615</v>
      </c>
      <c r="G2" s="15" t="s">
        <v>616</v>
      </c>
      <c r="H2" s="15" t="s">
        <v>617</v>
      </c>
      <c r="I2" s="16">
        <v>11565.58</v>
      </c>
      <c r="J2" s="15" t="s">
        <v>618</v>
      </c>
      <c r="K2" s="15" t="s">
        <v>619</v>
      </c>
      <c r="L2" s="15" t="s">
        <v>620</v>
      </c>
      <c r="M2" s="15">
        <v>970.55</v>
      </c>
      <c r="N2" s="15">
        <v>21</v>
      </c>
      <c r="O2" s="16">
        <v>462.8</v>
      </c>
      <c r="P2" s="15" t="s">
        <v>621</v>
      </c>
      <c r="Q2" s="15">
        <v>18.77</v>
      </c>
      <c r="R2" s="15" t="s">
        <v>622</v>
      </c>
      <c r="S2" s="15">
        <v>0</v>
      </c>
      <c r="T2" s="15" t="s">
        <v>623</v>
      </c>
      <c r="U2" s="15">
        <v>0</v>
      </c>
      <c r="V2" s="15">
        <v>116.47</v>
      </c>
      <c r="W2" s="15">
        <v>0</v>
      </c>
      <c r="X2" s="15">
        <v>0</v>
      </c>
      <c r="Y2" s="15">
        <v>5.78</v>
      </c>
      <c r="Z2" s="15">
        <v>11.02</v>
      </c>
      <c r="AA2" s="15">
        <v>1420.18</v>
      </c>
      <c r="AB2" s="15">
        <v>-449.63</v>
      </c>
      <c r="AC2" s="15">
        <v>252.34</v>
      </c>
      <c r="AD2" s="15">
        <v>-701.97</v>
      </c>
      <c r="AE2" s="15">
        <v>0</v>
      </c>
      <c r="AF2" s="15">
        <v>-701.97</v>
      </c>
      <c r="AG2" s="17">
        <v>-0.72329999999999994</v>
      </c>
      <c r="AH2" s="15"/>
    </row>
    <row r="3" spans="1:34" s="1" customFormat="1" ht="12" customHeight="1" x14ac:dyDescent="0.3">
      <c r="A3" s="13">
        <v>302849</v>
      </c>
      <c r="B3" s="12" t="s">
        <v>624</v>
      </c>
      <c r="C3" s="14"/>
      <c r="D3" s="14">
        <v>46293</v>
      </c>
      <c r="E3" s="12"/>
      <c r="F3" s="15" t="s">
        <v>625</v>
      </c>
      <c r="G3" s="15" t="s">
        <v>626</v>
      </c>
      <c r="H3" s="15" t="s">
        <v>627</v>
      </c>
      <c r="I3" s="16">
        <v>445600</v>
      </c>
      <c r="J3" s="15" t="s">
        <v>628</v>
      </c>
      <c r="K3" s="15" t="s">
        <v>619</v>
      </c>
      <c r="L3" s="15" t="s">
        <v>629</v>
      </c>
      <c r="M3" s="16">
        <v>6038.66</v>
      </c>
      <c r="N3" s="15">
        <v>32</v>
      </c>
      <c r="O3" s="16">
        <v>814.5</v>
      </c>
      <c r="P3" s="15" t="s">
        <v>624</v>
      </c>
      <c r="Q3" s="15">
        <v>797.1</v>
      </c>
      <c r="R3" s="15" t="s">
        <v>622</v>
      </c>
      <c r="S3" s="15">
        <v>0</v>
      </c>
      <c r="T3" s="15" t="s">
        <v>623</v>
      </c>
      <c r="U3" s="15">
        <v>0</v>
      </c>
      <c r="V3" s="15">
        <v>724.64</v>
      </c>
      <c r="W3" s="15">
        <v>0</v>
      </c>
      <c r="X3" s="15">
        <v>0</v>
      </c>
      <c r="Y3" s="15">
        <v>222.8</v>
      </c>
      <c r="Z3" s="15">
        <v>0</v>
      </c>
      <c r="AA3" s="16">
        <v>3976.4</v>
      </c>
      <c r="AB3" s="16">
        <v>2062.2600000000002</v>
      </c>
      <c r="AC3" s="15">
        <v>1570.05</v>
      </c>
      <c r="AD3" s="15">
        <v>492.21000000000004</v>
      </c>
      <c r="AE3" s="15">
        <v>159.41999999999999</v>
      </c>
      <c r="AF3" s="15">
        <v>332.79</v>
      </c>
      <c r="AG3" s="17">
        <v>5.5099999999999996E-2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7009.21</v>
      </c>
      <c r="F3" s="93"/>
      <c r="G3" s="94"/>
      <c r="H3" s="95">
        <f>'Resumo Detalhado'!C2</f>
        <v>1277.3</v>
      </c>
      <c r="I3" s="96"/>
      <c r="J3" s="97">
        <f>E3/H3</f>
        <v>5.4875205511626088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0.36494285714285712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4315.87</v>
      </c>
      <c r="F7" s="109"/>
      <c r="G7" s="109"/>
      <c r="H7" s="109"/>
      <c r="I7" s="109"/>
      <c r="J7" s="109">
        <f>E7/H3</f>
        <v>3.3789008063884758</v>
      </c>
      <c r="K7" s="109"/>
      <c r="L7" s="109"/>
      <c r="M7" s="110">
        <f>E7/E3</f>
        <v>0.61574271565554461</v>
      </c>
      <c r="N7" s="110"/>
      <c r="O7" s="110"/>
      <c r="P7" s="109">
        <f>E11+K11+Q11+E15+K15+Q15+E19+H19+K19</f>
        <v>7078.7903999999999</v>
      </c>
      <c r="Q7" s="109"/>
      <c r="R7" s="109"/>
      <c r="S7" s="109">
        <f>P7/H3</f>
        <v>5.541995146011117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3500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3500</v>
      </c>
      <c r="L11" s="94"/>
      <c r="M11" s="38"/>
      <c r="N11" s="92">
        <f>K11/H3</f>
        <v>2.7401550144836766</v>
      </c>
      <c r="O11" s="94"/>
      <c r="P11" s="38"/>
      <c r="Q11" s="92">
        <f>'Resumo Detalhado'!D2</f>
        <v>815.87</v>
      </c>
      <c r="R11" s="94"/>
      <c r="S11" s="38"/>
      <c r="T11" s="92">
        <f>Q11/H3</f>
        <v>0.63874579190479919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841.11</v>
      </c>
      <c r="F15" s="113"/>
      <c r="G15" s="113"/>
      <c r="H15" s="113"/>
      <c r="I15" s="114"/>
      <c r="J15" s="38"/>
      <c r="K15" s="116">
        <f>'Resumo Detalhado'!K2+'Resumo Detalhado'!L2</f>
        <v>1121.4736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228.58</v>
      </c>
      <c r="F19" s="119"/>
      <c r="G19" s="38"/>
      <c r="H19" s="106">
        <f>'Resumo Detalhado'!J2</f>
        <v>11.02</v>
      </c>
      <c r="I19" s="108"/>
      <c r="J19" s="38"/>
      <c r="K19" s="106">
        <f>'Resumo Detalhado'!L2</f>
        <v>560.73680000000002</v>
      </c>
      <c r="L19" s="108"/>
      <c r="M19" s="38"/>
      <c r="N19" s="112" t="s">
        <v>612</v>
      </c>
      <c r="O19" s="113"/>
      <c r="P19" s="113"/>
      <c r="Q19" s="113"/>
      <c r="R19" s="119"/>
      <c r="S19" s="112">
        <f>_xlfn.XLOOKUP(N19,Target!C:C,Target!D:D)</f>
        <v>3700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4392.4731999999985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0.62667165058544383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630</v>
      </c>
      <c r="F1" s="29"/>
    </row>
    <row r="2" spans="1:18" x14ac:dyDescent="0.3">
      <c r="B2" s="29">
        <f>SUM(B6:B5000)</f>
        <v>7009.21</v>
      </c>
      <c r="C2" s="29">
        <f>SUM(C6:C5000)</f>
        <v>1277.3</v>
      </c>
      <c r="D2" s="29">
        <f>SUM(D6:D5000)</f>
        <v>815.87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841.11</v>
      </c>
      <c r="I2" s="29">
        <f t="shared" si="0"/>
        <v>228.58</v>
      </c>
      <c r="J2" s="29">
        <f t="shared" si="0"/>
        <v>11.02</v>
      </c>
      <c r="K2" s="29">
        <f t="shared" si="0"/>
        <v>560.73680000000002</v>
      </c>
      <c r="L2" s="29">
        <f t="shared" si="0"/>
        <v>560.73680000000002</v>
      </c>
      <c r="M2" s="29">
        <f t="shared" si="0"/>
        <v>159.41999999999999</v>
      </c>
      <c r="N2" s="29">
        <f t="shared" si="0"/>
        <v>4392.4731999999985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302849</v>
      </c>
      <c r="B6" s="140">
        <v>6038.66</v>
      </c>
      <c r="C6" s="141">
        <v>814.5</v>
      </c>
      <c r="D6" s="140">
        <v>797.1</v>
      </c>
      <c r="E6" s="140">
        <v>0</v>
      </c>
      <c r="F6" s="140">
        <v>0</v>
      </c>
      <c r="G6" s="142">
        <v>0.13199948332908296</v>
      </c>
      <c r="H6" s="140">
        <v>724.64</v>
      </c>
      <c r="I6" s="140">
        <v>222.8</v>
      </c>
      <c r="J6" s="140">
        <v>0</v>
      </c>
      <c r="K6" s="140">
        <v>483.09280000000001</v>
      </c>
      <c r="L6" s="140">
        <v>483.09280000000001</v>
      </c>
      <c r="M6" s="140">
        <v>159.41999999999999</v>
      </c>
      <c r="N6" s="140">
        <v>3651.607199999999</v>
      </c>
      <c r="O6" s="142">
        <v>0.60470488485856122</v>
      </c>
      <c r="Q6"/>
    </row>
    <row r="7" spans="1:18" s="31" customFormat="1" x14ac:dyDescent="0.3">
      <c r="A7" s="139" t="s">
        <v>616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302648</v>
      </c>
      <c r="B8" s="140">
        <v>970.55</v>
      </c>
      <c r="C8" s="141">
        <v>462.8</v>
      </c>
      <c r="D8" s="140">
        <v>18.77</v>
      </c>
      <c r="E8" s="140">
        <v>0</v>
      </c>
      <c r="F8" s="140">
        <v>0</v>
      </c>
      <c r="G8" s="142">
        <v>1.9339549739838237E-2</v>
      </c>
      <c r="H8" s="140">
        <v>116.47</v>
      </c>
      <c r="I8" s="140">
        <v>5.78</v>
      </c>
      <c r="J8" s="140">
        <v>11.02</v>
      </c>
      <c r="K8" s="140">
        <v>77.643999999999991</v>
      </c>
      <c r="L8" s="140">
        <v>77.643999999999991</v>
      </c>
      <c r="M8" s="140">
        <v>0</v>
      </c>
      <c r="N8" s="140">
        <v>740.86599999999999</v>
      </c>
      <c r="O8" s="142">
        <v>0.76334655607645152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630</v>
      </c>
    </row>
    <row r="2" spans="1:4" x14ac:dyDescent="0.3">
      <c r="B2" s="29">
        <f>SUM(B6:B5000)</f>
        <v>970.55</v>
      </c>
      <c r="C2" s="29">
        <f>SUM(C6:C5000)</f>
        <v>740.86599999999999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626</v>
      </c>
      <c r="B5" s="10">
        <v>6038.66</v>
      </c>
      <c r="C5" s="10">
        <v>3651.607199999999</v>
      </c>
    </row>
    <row r="6" spans="1:4" x14ac:dyDescent="0.3">
      <c r="A6" s="139" t="s">
        <v>616</v>
      </c>
      <c r="B6" s="140">
        <v>970.55</v>
      </c>
      <c r="C6" s="140">
        <v>740.86599999999999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3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2026-10-01T12:43:06Z</dcterms:modified>
  <cp:category/>
  <cp:contentStatus/>
</cp:coreProperties>
</file>