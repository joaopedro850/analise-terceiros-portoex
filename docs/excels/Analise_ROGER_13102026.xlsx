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BDB5E19-BE41-4ACA-821C-563D2114C5D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<sst xmlns="http://schemas.openxmlformats.org/spreadsheetml/2006/main" count="914" uniqueCount="634">
  <si>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</si>
  <si>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</si>
  <si>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</si>
  <si>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</si>
  <si>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</si>
  <si>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</si>
  <si>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</si>
  <si>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</si>
  <si>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</si>
  <si>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</si>
  <si>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</si>
  <si>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</si>
  <si>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</si>
  <si>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</si>
  <si>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</si>
  <si>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</si>
  <si>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</si>
  <si>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</si>
  <si>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</si>
  <si>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</si>
  <si>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</si>
  <si>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</si>
  <si>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</si>
  <si>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</si>
  <si>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</si>
  <si>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</si>
  <si>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</si>
  <si>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</si>
  <si>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</si>
  <si>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</si>
  <si>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</si>
  <si>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</si>
  <si>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</si>
  <si>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</si>
  <si>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</si>
  <si>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</si>
  <si>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</si>
  <si>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</si>
  <si>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</si>
  <si>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</si>
  <si>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</si>
  <si>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</si>
  <si>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</si>
  <si>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</si>
  <si>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</si>
  <si>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</si>
  <si>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</si>
  <si>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</si>
  <si>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</si>
  <si>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</si>
  <si>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</si>
  <si>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</si>
  <si>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</si>
  <si>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</si>
  <si>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</si>
  <si>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</si>
  <si>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</si>
  <si>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</si>
  <si>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</si>
  <si>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</si>
  <si>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</si>
  <si>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</si>
  <si>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</si>
  <si>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</si>
  <si>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</si>
  <si>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</si>
  <si>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</si>
  <si>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</si>
  <si>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</si>
  <si>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</si>
  <si>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</si>
  <si>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</si>
  <si>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</si>
  <si>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</si>
  <si>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</si>
  <si>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</si>
  <si>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</si>
  <si>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</si>
  <si>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</si>
  <si>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</si>
  <si>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</si>
  <si>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</si>
  <si>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</si>
  <si>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</si>
  <si>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</si>
  <si>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</si>
  <si>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</si>
  <si>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</si>
  <si>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</si>
  <si>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</si>
  <si>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</si>
  <si>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</si>
  <si>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</si>
  <si>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</si>
  <si>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</si>
  <si>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</si>
  <si>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</si>
  <si>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</si>
  <si>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</si>
  <si>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</si>
  <si>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</si>
  <si>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</si>
  <si>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</si>
  <si>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</si>
  <si>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</si>
  <si>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</si>
  <si>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</si>
  <si>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</si>
  <si>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</si>
  <si>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</si>
  <si>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</si>
  <si>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</si>
  <si>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</si>
  <si>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</si>
  <si>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</si>
  <si>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</si>
  <si>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</si>
  <si>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</si>
  <si>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</si>
  <si>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</si>
  <si>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</si>
  <si>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</si>
  <si>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</si>
  <si>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</si>
  <si>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</si>
  <si>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</si>
  <si>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</si>
  <si>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</si>
  <si>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</si>
  <si>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</si>
  <si>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</si>
  <si>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</si>
  <si>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</si>
  <si>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</si>
  <si>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</si>
  <si>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</si>
  <si>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</si>
  <si>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</si>
  <si>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</si>
  <si>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</si>
  <si>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</si>
  <si>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</si>
  <si>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</si>
  <si>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</si>
  <si>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</si>
  <si>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</si>
  <si>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</si>
  <si>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</si>
  <si>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</si>
  <si>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</si>
  <si>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</si>
  <si>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</si>
  <si>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</si>
  <si>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</si>
  <si>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</si>
  <si>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</si>
  <si>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</si>
  <si>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</si>
  <si>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</si>
  <si>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</si>
  <si>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</si>
  <si>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</si>
  <si>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</si>
  <si>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</si>
  <si>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</si>
  <si>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</si>
  <si>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</si>
  <si>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</si>
  <si>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</si>
  <si>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</si>
  <si>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</si>
  <si>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</si>
  <si>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</si>
  <si>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</si>
  <si>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</si>
  <si>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</si>
  <si>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</si>
  <si>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</si>
  <si>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</si>
  <si>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</si>
  <si>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</si>
  <si>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</si>
  <si>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</si>
  <si>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</si>
  <si>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</si>
  <si>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</si>
  <si>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</si>
  <si>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</si>
  <si>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</si>
  <si>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</si>
  <si>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</si>
  <si>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</si>
  <si>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</si>
  <si>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</si>
  <si>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</si>
  <si>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</si>
  <si>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</si>
  <si>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</si>
  <si>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</si>
  <si>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</si>
  <si>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</si>
  <si>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</si>
  <si>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</si>
  <si>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</si>
  <si>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</si>
  <si>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</si>
  <si>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</si>
  <si>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</si>
  <si>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</si>
  <si>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</si>
  <si>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</si>
  <si>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</si>
  <si>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</si>
  <si>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</si>
  <si>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</si>
  <si>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</si>
  <si>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</si>
  <si>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</si>
  <si>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</si>
  <si>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</si>
  <si>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</si>
  <si>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</si>
  <si>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</si>
  <si>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</si>
  <si>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</si>
  <si>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</si>
  <si>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</si>
  <si>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</si>
  <si>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</si>
  <si>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</si>
  <si>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</si>
  <si>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</si>
  <si>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</si>
  <si>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</si>
  <si>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</si>
  <si>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</si>
  <si>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</si>
  <si>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</si>
  <si>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</si>
  <si>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</si>
  <si>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</si>
  <si>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</si>
  <si>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</si>
  <si>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</si>
  <si>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</si>
  <si>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</si>
  <si>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</si>
  <si>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</si>
  <si>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</si>
  <si>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</si>
  <si>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</si>
  <si>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</si>
  <si>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</si>
  <si>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</si>
  <si>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</si>
  <si>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</si>
  <si>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</si>
  <si>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</si>
  <si>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</si>
  <si>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</si>
  <si>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</si>
  <si>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</si>
  <si>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</si>
  <si>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</si>
  <si>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</si>
  <si>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</si>
  <si>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</si>
  <si>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</si>
  <si>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</si>
  <si>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</si>
  <si>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</si>
  <si>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</si>
  <si>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</si>
  <si>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</si>
  <si>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</si>
  <si>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</si>
  <si>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</si>
  <si>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</si>
  <si>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</si>
  <si>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</si>
  <si>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</si>
  <si>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</si>
  <si>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</si>
  <si>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</si>
  <si>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</si>
  <si>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</si>
  <si>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</si>
  <si>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</si>
  <si>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</si>
  <si>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</si>
  <si>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</si>
  <si>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</si>
  <si>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</si>
  <si>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</si>
  <si>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</si>
  <si>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</si>
  <si>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</si>
  <si>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</si>
  <si>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</si>
  <si>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</si>
  <si>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</si>
  <si>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</si>
  <si>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</si>
  <si>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</si>
  <si>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</si>
  <si>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</si>
  <si>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</si>
  <si>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</si>
  <si>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</si>
  <si>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</si>
  <si>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</si>
  <si>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</si>
  <si>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</si>
  <si>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</si>
  <si>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</si>
  <si>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</si>
  <si>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</si>
  <si>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</si>
  <si>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</si>
  <si>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</si>
  <si>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</si>
  <si>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</si>
  <si>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</si>
  <si>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</si>
  <si>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</si>
  <si>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</si>
  <si>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</si>
  <si>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</si>
  <si>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</si>
  <si>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</si>
  <si>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</si>
  <si>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</si>
  <si>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</si>
  <si>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</si>
  <si>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</si>
  <si>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</si>
  <si>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</si>
  <si>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</si>
  <si>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</si>
  <si>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</si>
  <si>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</si>
  <si>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</si>
  <si>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</si>
  <si>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</si>
  <si>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</si>
  <si>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</si>
  <si>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</si>
  <si>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</si>
  <si>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</si>
  <si>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</si>
  <si>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</si>
  <si>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</si>
  <si>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</si>
  <si>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</si>
  <si>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</si>
  <si>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</si>
  <si>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</si>
  <si>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</si>
  <si>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</si>
  <si>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</si>
  <si>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</si>
  <si>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</si>
  <si>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</si>
  <si>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</si>
  <si>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</si>
  <si>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</si>
  <si>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</si>
  <si>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</si>
  <si>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</si>
  <si>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</si>
  <si>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</si>
  <si>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</si>
  <si>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</si>
  <si>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</si>
  <si>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</si>
  <si>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</si>
  <si>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</si>
  <si>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</si>
  <si>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</si>
  <si>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</si>
  <si>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</si>
  <si>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</si>
  <si>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</si>
  <si>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</si>
  <si>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</si>
  <si>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</si>
  <si>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</si>
  <si>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</si>
  <si>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</si>
  <si>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</si>
  <si>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</si>
  <si>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</si>
  <si>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</si>
  <si>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</si>
  <si>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</si>
  <si>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</si>
  <si>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</si>
  <si>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</si>
  <si>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</si>
  <si>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</si>
  <si>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</si>
  <si>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</si>
  <si>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</si>
  <si>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</si>
  <si>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</si>
  <si>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</si>
  <si>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</si>
  <si>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</si>
  <si>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</si>
  <si>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</si>
  <si>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</si>
  <si>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</si>
  <si>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</si>
  <si>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</si>
  <si>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</si>
  <si>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</si>
  <si>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</si>
  <si>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</si>
  <si>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</si>
  <si>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</si>
  <si>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</si>
  <si>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</si>
  <si>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</si>
  <si>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</si>
  <si>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</si>
  <si>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</si>
  <si>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</si>
  <si>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</si>
  <si>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</si>
  <si>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</si>
  <si>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</si>
  <si>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</si>
  <si>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</si>
  <si>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</si>
  <si>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</si>
  <si>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</si>
  <si>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</si>
  <si>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</si>
  <si>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</si>
  <si>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</si>
  <si>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</si>
  <si>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</si>
  <si>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</si>
  <si>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</si>
  <si>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</si>
  <si>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</si>
  <si>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</si>
  <si>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</si>
  <si>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</si>
  <si>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</si>
  <si>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</si>
  <si>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</si>
  <si>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</si>
  <si>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</si>
  <si>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</si>
  <si>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</si>
  <si>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</si>
  <si>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</si>
  <si>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</si>
  <si>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</si>
  <si>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</si>
  <si>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</si>
  <si>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</si>
  <si>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</si>
  <si>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</si>
  <si>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</si>
  <si>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</si>
  <si>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</si>
  <si>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</si>
  <si>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</si>
  <si>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</si>
  <si>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</si>
  <si>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</si>
  <si>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</si>
  <si>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</si>
  <si>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</si>
  <si>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</si>
  <si>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</si>
  <si>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</si>
  <si>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</si>
  <si>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</si>
  <si>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</si>
  <si>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</si>
  <si>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</si>
  <si>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</si>
  <si>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</si>
  <si>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</si>
  <si>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</si>
  <si>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</si>
  <si>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</si>
  <si>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</si>
  <si>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</si>
  <si>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</si>
  <si>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</si>
  <si>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</si>
  <si>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</si>
  <si>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</si>
  <si>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</si>
  <si>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</si>
  <si>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</si>
  <si>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</si>
  <si>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</si>
  <si>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</si>
  <si>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</si>
  <si>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</si>
  <si>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</si>
  <si>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</si>
  <si>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</si>
  <si>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</si>
  <si>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</si>
  <si>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</si>
  <si>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</si>
  <si>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</si>
  <si>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</si>
  <si>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</si>
  <si>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</si>
  <si>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</si>
  <si>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</si>
  <si>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</si>
  <si>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</si>
  <si>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</si>
  <si>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</si>
  <si>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</si>
  <si>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</si>
  <si>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</si>
  <si>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</si>
  <si>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</si>
  <si>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</si>
  <si>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</si>
  <si>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</si>
  <si>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</si>
  <si>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</si>
  <si>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</si>
  <si>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</si>
  <si>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</si>
  <si>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</si>
  <si>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</si>
  <si>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</si>
  <si>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</si>
  <si>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</si>
  <si>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</si>
  <si>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</si>
  <si>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</si>
  <si>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</si>
  <si>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</si>
  <si>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</si>
  <si>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</si>
  <si>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</si>
  <si>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</si>
  <si>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</si>
  <si>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</si>
  <si>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</si>
  <si>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</si>
  <si>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</si>
  <si>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</si>
  <si>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</si>
  <si>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</si>
  <si>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</si>
  <si>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</si>
  <si>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</si>
  <si>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</si>
  <si>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</si>
  <si>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</si>
  <si>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</si>
  <si>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</si>
  <si>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</si>
  <si>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</si>
  <si>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</si>
  <si>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</si>
  <si>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</si>
  <si>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</si>
  <si>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</si>
  <si>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</si>
  <si>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</si>
  <si>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</si>
  <si>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</si>
  <si>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</si>
  <si>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</si>
  <si>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</si>
  <si>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</si>
  <si>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</si>
  <si>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</si>
  <si>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</si>
  <si>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</si>
  <si>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</si>
  <si>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</si>
  <si>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</si>
  <si>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</si>
  <si>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</si>
  <si>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</si>
  <si>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</si>
  <si>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</si>
  <si>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</si>
  <si>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</si>
  <si>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</si>
  <si>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</si>
  <si>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</si>
  <si>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</si>
  <si>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</si>
  <si>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</si>
  <si>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</si>
  <si>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</si>
  <si>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</si>
  <si>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</si>
  <si>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</si>
  <si>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</si>
  <si>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</si>
  <si>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</si>
  <si>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</si>
  <si>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</si>
  <si>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</si>
  <si>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</si>
  <si>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</si>
  <si>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</si>
  <si>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</si>
  <si>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</si>
  <si>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</si>
  <si>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38800-1</t>
  </si>
  <si>
    <t>SAGA BRASIL SOL</t>
  </si>
  <si>
    <t>ARNALDO</t>
  </si>
  <si>
    <t>ECONOMICO_250</t>
  </si>
  <si>
    <t>CTE NORMAL</t>
  </si>
  <si>
    <t>FLORIANOPOLIS - SC</t>
  </si>
  <si>
    <t>EDSON SANTOS DA SILVA</t>
  </si>
  <si>
    <t>PEX LOGISTICA INTEGRADA L</t>
  </si>
  <si>
    <t>ROGER HENRIQUE DO AMARAL</t>
  </si>
  <si>
    <t>MATRIZ</t>
  </si>
  <si>
    <t>204756-1</t>
  </si>
  <si>
    <t>KUEHNE+NAGEL SE</t>
  </si>
  <si>
    <t>CORPORATIVO- GERAL</t>
  </si>
  <si>
    <t>PERSONALIZADO_L</t>
  </si>
  <si>
    <t>CACHOEIRINHA - RS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</si>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</sst>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[Analise_ROGER_13102026.xlsx]Resumo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SAGA BRASIL SOL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3912.01</c:v>
                </c:pt>
                <c:pt idx="1">
                  <c:v>553.66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SAGA BRASIL SOL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3595.0492000000004</c:v>
                </c:pt>
                <c:pt idx="1">
                  <c:v>-1985.0128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[Analise_ROGER_13102026.xlsx]Resumo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SAGA BRASIL SOL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3912.01</c:v>
                </c:pt>
                <c:pt idx="1">
                  <c:v>553.66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SAGA BRASIL SOL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3595.0492000000004</c:v>
                </c:pt>
                <c:pt idx="1">
                  <c:v>-1985.0128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0288645833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375" count="8000">
        <n v="305223"/>
        <n v="30537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14T00:00:00"/>
    </cacheField>
    <cacheField name="DATA" numFmtId="14">
      <sharedItems containsNonDate="0" containsDate="1" containsString="0" containsBlank="1" minDate="2026-10-09T00:00:00" maxDate="2026-10-1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7">
        <s v="SAGA BRASIL SOL"/>
        <s v="KUEHNE+NAGEL S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007.3" maxValue="9715.7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53.66" maxValue="3912.01"/>
    </cacheField>
    <cacheField name="VOLUMES" numFmtId="0">
      <sharedItems containsString="0" containsBlank="1" containsNumber="1" containsInteger="1" minValue="1" maxValue="5"/>
    </cacheField>
    <cacheField name="PESO" numFmtId="0">
      <sharedItems containsString="0" containsBlank="1" containsNumber="1" containsInteger="1" minValue="100" maxValue="530"/>
    </cacheField>
    <cacheField name="RESP. COLETA" numFmtId="0">
      <sharedItems containsBlank="1"/>
    </cacheField>
    <cacheField name="CUSTO COLETA" numFmtId="0">
      <sharedItems containsString="0" containsBlank="1" containsNumber="1" minValue="0" maxValue="73.0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23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66.4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" maxValue="4.860000000000000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13.16" maxValue="1980.98"/>
    </cacheField>
    <cacheField name="RECEITA" numFmtId="0">
      <sharedItems containsString="0" containsBlank="1" containsNumber="1" minValue="-259.5" maxValue="1931.03"/>
    </cacheField>
    <cacheField name="IMPOSTO" numFmtId="0">
      <sharedItems containsString="0" containsBlank="1" containsNumber="1" minValue="143.94999999999999" maxValue="1017.12"/>
    </cacheField>
    <cacheField name="RESULTADO" numFmtId="0">
      <sharedItems containsString="0" containsBlank="1" containsNumber="1" minValue="-403.45" maxValue="913.9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03.45" maxValue="913.91"/>
    </cacheField>
    <cacheField name="MARGEM" numFmtId="10">
      <sharedItems containsString="0" containsBlank="1" containsNumber="1" minValue="-0.72870000000000001" maxValue="0.233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10-07T00:00:00"/>
    <d v="2026-10-09T00:00:00"/>
    <m/>
    <s v="38800-1"/>
    <x v="0"/>
    <s v="ARNALDO"/>
    <n v="9715.76"/>
    <x v="0"/>
    <s v="CTE NORMAL"/>
    <s v="FLORIANOPOLIS - SC"/>
    <n v="553.66"/>
    <n v="5"/>
    <n v="100"/>
    <s v="EDSON SANTOS DA SILVA"/>
    <n v="73.08"/>
    <s v="PEX LOGISTICA INTEGRADA L"/>
    <n v="2350"/>
    <s v="ROGER HENRIQUE DO AMARAL"/>
    <n v="0"/>
    <n v="66.44"/>
    <n v="0"/>
    <n v="0"/>
    <n v="4.8600000000000003"/>
    <n v="0"/>
    <n v="813.16"/>
    <n v="-259.5"/>
    <n v="143.94999999999999"/>
    <n v="-403.45"/>
    <n v="0"/>
    <n v="-403.45"/>
    <n v="-0.72870000000000001"/>
    <m/>
  </r>
  <r>
    <x v="1"/>
    <s v="MATRIZ"/>
    <d v="2026-10-13T00:00:00"/>
    <d v="2026-10-13T00:00:00"/>
    <m/>
    <s v="204756-1"/>
    <x v="1"/>
    <s v="CORPORATIVO- GERAL"/>
    <n v="8007.3"/>
    <x v="1"/>
    <s v="CTE NORMAL"/>
    <s v="CACHOEIRINHA - RS"/>
    <n v="3912.01"/>
    <n v="1"/>
    <n v="530"/>
    <s v="N/D"/>
    <n v="0"/>
    <s v="N/D"/>
    <n v="0"/>
    <s v="ROGER HENRIQUE DO AMARAL"/>
    <n v="0"/>
    <n v="0"/>
    <n v="0"/>
    <n v="0"/>
    <n v="4"/>
    <n v="0"/>
    <n v="1980.98"/>
    <n v="1931.03"/>
    <n v="1017.12"/>
    <n v="913.91"/>
    <n v="0"/>
    <n v="913.91"/>
    <n v="0.2336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x="0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24"/>
    </i>
    <i r="1">
      <x v="7999"/>
    </i>
    <i>
      <x v="671"/>
    </i>
    <i r="1">
      <x v="7998"/>
    </i>
    <i>
      <x v="856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x="0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24"/>
    </i>
    <i>
      <x v="671"/>
    </i>
    <i>
      <x v="85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6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7">
        <i x="1" s="1"/>
        <i x="0" s="1"/>
        <i x="2" s="1"/>
        <i x="820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4" s="1" nd="1"/>
        <i x="21" s="1" nd="1"/>
        <i x="759" s="1" nd="1"/>
        <i x="113" s="1" nd="1"/>
        <i x="546" s="1" nd="1"/>
        <i x="830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1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2" s="1" nd="1"/>
        <i x="323" s="1" nd="1"/>
        <i x="462" s="1" nd="1"/>
        <i x="507" s="1" nd="1"/>
        <i x="555" s="1" nd="1"/>
        <i x="478" s="1" nd="1"/>
        <i x="245" s="1" nd="1"/>
        <i x="850" s="1" nd="1"/>
        <i x="834" s="1" nd="1"/>
        <i x="744" s="1" nd="1"/>
        <i x="241" s="1" nd="1"/>
        <i x="240" s="1" nd="1"/>
        <i x="463" s="1" nd="1"/>
        <i x="287" s="1" nd="1"/>
        <i x="551" s="1" nd="1"/>
        <i x="847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7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8" s="1" nd="1"/>
        <i x="249" s="1" nd="1"/>
        <i x="765" s="1" nd="1"/>
        <i x="426" s="1" nd="1"/>
        <i x="437" s="1" nd="1"/>
        <i x="168" s="1" nd="1"/>
        <i x="544" s="1" nd="1"/>
        <i x="808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6" s="1" nd="1"/>
        <i x="397" s="1" nd="1"/>
        <i x="259" s="1" nd="1"/>
        <i x="378" s="1" nd="1"/>
        <i x="851" s="1" nd="1"/>
        <i x="649" s="1" nd="1"/>
        <i x="855" s="1" nd="1"/>
        <i x="831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2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5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9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8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3" s="1" nd="1"/>
        <i x="766" s="1" nd="1"/>
        <i x="510" s="1" nd="1"/>
        <i x="823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5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1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4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7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9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2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9" s="1" nd="1"/>
        <i x="70" s="1" nd="1"/>
        <i x="119" s="1" nd="1"/>
        <i x="647" s="1" nd="1"/>
        <i x="412" s="1" nd="1"/>
        <i x="856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2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40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1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6" s="1" nd="1"/>
        <i x="789" s="1" nd="1"/>
        <i x="29" s="1" nd="1"/>
        <i x="784" s="1" nd="1"/>
        <i x="254" s="1" nd="1"/>
        <i x="476" s="1" nd="1"/>
        <i x="814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5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6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5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9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3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2" s="1" nd="1"/>
        <i x="496" s="1" nd="1"/>
        <i x="396" s="1" nd="1"/>
        <i x="672" s="1" nd="1"/>
        <i x="186" s="1" nd="1"/>
        <i x="410" s="1" nd="1"/>
        <i x="475" s="1" nd="1"/>
        <i x="839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3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10" s="1" nd="1"/>
        <i x="818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6" s="1" nd="1"/>
        <i x="36" s="1" nd="1"/>
        <i x="312" s="1" nd="1"/>
        <i x="827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3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4" s="1" nd="1"/>
        <i x="838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305223</v>
      </c>
      <c r="B2" s="12" t="s">
        <v>616</v>
      </c>
      <c r="C2" s="14">
        <v>46302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9715.76</v>
      </c>
      <c r="J2" s="15" t="s">
        <v>620</v>
      </c>
      <c r="K2" s="15" t="s">
        <v>621</v>
      </c>
      <c r="L2" s="15" t="s">
        <v>622</v>
      </c>
      <c r="M2" s="15">
        <v>553.66</v>
      </c>
      <c r="N2" s="15">
        <v>5</v>
      </c>
      <c r="O2" s="16">
        <v>100</v>
      </c>
      <c r="P2" s="15" t="s">
        <v>623</v>
      </c>
      <c r="Q2" s="15">
        <v>73.08</v>
      </c>
      <c r="R2" s="15" t="s">
        <v>624</v>
      </c>
      <c r="S2" s="15">
        <v>2350</v>
      </c>
      <c r="T2" s="15" t="s">
        <v>625</v>
      </c>
      <c r="U2" s="15">
        <v>0</v>
      </c>
      <c r="V2" s="15">
        <v>66.44</v>
      </c>
      <c r="W2" s="15">
        <v>0</v>
      </c>
      <c r="X2" s="15">
        <v>0</v>
      </c>
      <c r="Y2" s="15">
        <v>4.8600000000000003</v>
      </c>
      <c r="Z2" s="15">
        <v>0</v>
      </c>
      <c r="AA2" s="15">
        <v>813.16</v>
      </c>
      <c r="AB2" s="15">
        <v>-259.5</v>
      </c>
      <c r="AC2" s="15">
        <v>143.94999999999999</v>
      </c>
      <c r="AD2" s="15">
        <v>-403.45</v>
      </c>
      <c r="AE2" s="15">
        <v>0</v>
      </c>
      <c r="AF2" s="15">
        <v>-403.45</v>
      </c>
      <c r="AG2" s="17">
        <v>-0.72870000000000001</v>
      </c>
      <c r="AH2" s="15"/>
    </row>
    <row r="3" spans="1:34" s="1" customFormat="1" ht="12" customHeight="1" x14ac:dyDescent="0.3">
      <c r="A3" s="13">
        <v>305375</v>
      </c>
      <c r="B3" s="12" t="s">
        <v>626</v>
      </c>
      <c r="C3" s="14">
        <v>46308</v>
      </c>
      <c r="D3" s="14">
        <v>46308</v>
      </c>
      <c r="E3" s="12"/>
      <c r="F3" s="15" t="s">
        <v>627</v>
      </c>
      <c r="G3" s="15" t="s">
        <v>628</v>
      </c>
      <c r="H3" s="15" t="s">
        <v>629</v>
      </c>
      <c r="I3" s="16">
        <v>8007.3</v>
      </c>
      <c r="J3" s="15" t="s">
        <v>630</v>
      </c>
      <c r="K3" s="15" t="s">
        <v>621</v>
      </c>
      <c r="L3" s="15" t="s">
        <v>631</v>
      </c>
      <c r="M3" s="16">
        <v>3912.01</v>
      </c>
      <c r="N3" s="15">
        <v>1</v>
      </c>
      <c r="O3" s="16">
        <v>530</v>
      </c>
      <c r="P3" s="15" t="s">
        <v>632</v>
      </c>
      <c r="Q3" s="15">
        <v>0</v>
      </c>
      <c r="R3" s="15" t="s">
        <v>632</v>
      </c>
      <c r="S3" s="15">
        <v>0</v>
      </c>
      <c r="T3" s="15" t="s">
        <v>625</v>
      </c>
      <c r="U3" s="15">
        <v>0</v>
      </c>
      <c r="V3" s="15">
        <v>0</v>
      </c>
      <c r="W3" s="15">
        <v>0</v>
      </c>
      <c r="X3" s="15">
        <v>0</v>
      </c>
      <c r="Y3" s="15">
        <v>4</v>
      </c>
      <c r="Z3" s="15">
        <v>0</v>
      </c>
      <c r="AA3" s="16">
        <v>1980.98</v>
      </c>
      <c r="AB3" s="16">
        <v>1931.03</v>
      </c>
      <c r="AC3" s="15">
        <v>1017.12</v>
      </c>
      <c r="AD3" s="15">
        <v>913.91</v>
      </c>
      <c r="AE3" s="15">
        <v>0</v>
      </c>
      <c r="AF3" s="15">
        <v>913.91</v>
      </c>
      <c r="AG3" s="17">
        <v>0.2336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4465.67</v>
      </c>
      <c r="F3" s="89"/>
      <c r="G3" s="90"/>
      <c r="H3" s="133">
        <f>'Resumo Detalhado'!C2</f>
        <v>630</v>
      </c>
      <c r="I3" s="134"/>
      <c r="J3" s="135">
        <f>E3/H3</f>
        <v>7.0883650793650794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0.52500000000000002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2423.08</v>
      </c>
      <c r="F7" s="112"/>
      <c r="G7" s="112"/>
      <c r="H7" s="112"/>
      <c r="I7" s="112"/>
      <c r="J7" s="112">
        <f>E7/H3</f>
        <v>3.8461587301587299</v>
      </c>
      <c r="K7" s="112"/>
      <c r="L7" s="112"/>
      <c r="M7" s="130">
        <f>E7/E3</f>
        <v>0.54260167007414339</v>
      </c>
      <c r="N7" s="130"/>
      <c r="O7" s="130"/>
      <c r="P7" s="112">
        <f>E11+K11+Q11+E15+K15+Q15+E19+H19+K19</f>
        <v>3570.1408000000001</v>
      </c>
      <c r="Q7" s="112"/>
      <c r="R7" s="112"/>
      <c r="S7" s="112">
        <f>P7/H3</f>
        <v>5.6668901587301592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2350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2350</v>
      </c>
      <c r="L11" s="90"/>
      <c r="M11" s="38"/>
      <c r="N11" s="88">
        <f>K11/H3</f>
        <v>3.7301587301587302</v>
      </c>
      <c r="O11" s="90"/>
      <c r="P11" s="38"/>
      <c r="Q11" s="88">
        <f>'Resumo Detalhado'!D2</f>
        <v>73.08</v>
      </c>
      <c r="R11" s="90"/>
      <c r="S11" s="38"/>
      <c r="T11" s="88">
        <f>Q11/H3</f>
        <v>0.11599999999999999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66.44</v>
      </c>
      <c r="F15" s="119"/>
      <c r="G15" s="119"/>
      <c r="H15" s="119"/>
      <c r="I15" s="132"/>
      <c r="J15" s="38"/>
      <c r="K15" s="113">
        <f>'Resumo Detalhado'!K2+'Resumo Detalhado'!L2</f>
        <v>714.50720000000001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8.86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357.25360000000001</v>
      </c>
      <c r="L19" s="123"/>
      <c r="M19" s="38"/>
      <c r="N19" s="121" t="s">
        <v>599</v>
      </c>
      <c r="O19" s="119"/>
      <c r="P19" s="119"/>
      <c r="Q19" s="119"/>
      <c r="R19" s="120"/>
      <c r="S19" s="121">
        <f>_xlfn.XLOOKUP(N19,Target!C:C,Target!D:D)</f>
        <v>2500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1610.0364000000004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0.36053635848596077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4465.67</v>
      </c>
      <c r="C2" s="29">
        <f>SUM(C6:C5000)</f>
        <v>630</v>
      </c>
      <c r="D2" s="29">
        <f>SUM(D6:D5000)</f>
        <v>73.08</v>
      </c>
      <c r="E2" s="29">
        <f>SUM(E6:E5000)</f>
        <v>2350</v>
      </c>
      <c r="F2" s="29">
        <f>SUM(F6:F5000)</f>
        <v>0</v>
      </c>
      <c r="G2" s="29"/>
      <c r="H2" s="29">
        <f t="shared" ref="H2:P2" si="0">SUM(H6:H5000)</f>
        <v>66.44</v>
      </c>
      <c r="I2" s="29">
        <f t="shared" si="0"/>
        <v>8.86</v>
      </c>
      <c r="J2" s="29">
        <f t="shared" si="0"/>
        <v>0</v>
      </c>
      <c r="K2" s="29">
        <f t="shared" si="0"/>
        <v>357.25360000000001</v>
      </c>
      <c r="L2" s="29">
        <f t="shared" si="0"/>
        <v>357.25360000000001</v>
      </c>
      <c r="M2" s="29">
        <f t="shared" si="0"/>
        <v>0</v>
      </c>
      <c r="N2" s="29">
        <f t="shared" si="0"/>
        <v>1610.0364000000004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305375</v>
      </c>
      <c r="B6" s="139">
        <v>3912.01</v>
      </c>
      <c r="C6" s="140">
        <v>530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4</v>
      </c>
      <c r="J6" s="139">
        <v>0</v>
      </c>
      <c r="K6" s="139">
        <v>312.96080000000001</v>
      </c>
      <c r="L6" s="139">
        <v>312.96080000000001</v>
      </c>
      <c r="M6" s="139">
        <v>0</v>
      </c>
      <c r="N6" s="139">
        <v>3595.0492000000004</v>
      </c>
      <c r="O6" s="141">
        <v>0.91897750772620734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305223</v>
      </c>
      <c r="B8" s="139">
        <v>553.66</v>
      </c>
      <c r="C8" s="140">
        <v>100</v>
      </c>
      <c r="D8" s="139">
        <v>73.08</v>
      </c>
      <c r="E8" s="139">
        <v>2350</v>
      </c>
      <c r="F8" s="139">
        <v>0</v>
      </c>
      <c r="G8" s="141">
        <v>4.376476537947477</v>
      </c>
      <c r="H8" s="139">
        <v>66.44</v>
      </c>
      <c r="I8" s="139">
        <v>4.8600000000000003</v>
      </c>
      <c r="J8" s="139">
        <v>0</v>
      </c>
      <c r="K8" s="139">
        <v>44.2928</v>
      </c>
      <c r="L8" s="139">
        <v>44.2928</v>
      </c>
      <c r="M8" s="139">
        <v>0</v>
      </c>
      <c r="N8" s="139">
        <v>-1985.0128</v>
      </c>
      <c r="O8" s="141">
        <v>-3.5852559332442295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553.66</v>
      </c>
      <c r="C2" s="29">
        <f>SUM(C6:C5000)</f>
        <v>-1985.0128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628</v>
      </c>
      <c r="B5" s="10">
        <v>3912.01</v>
      </c>
      <c r="C5" s="10">
        <v>3595.0492000000004</v>
      </c>
    </row>
    <row r="6" spans="1:4" x14ac:dyDescent="0.3">
      <c r="A6" s="9" t="s">
        <v>618</v>
      </c>
      <c r="B6" s="139">
        <v>553.66</v>
      </c>
      <c r="C6" s="139">
        <v>-1985.0128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2026-10-16T15:04:16Z</dcterms:modified>
  <cp:category/>
  <cp:contentStatus/>
</cp:coreProperties>
</file>