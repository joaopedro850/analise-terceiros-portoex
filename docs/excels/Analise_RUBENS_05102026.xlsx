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522ACC5-E173-49B4-AF8D-71CE3F3DE7AD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<sst xmlns="http://schemas.openxmlformats.org/spreadsheetml/2006/main" count="914" uniqueCount="633">
  <si>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</si>
  <si>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</si>
  <si>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</si>
  <si>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</si>
  <si>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</si>
  <si>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</si>
  <si>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</si>
  <si>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</si>
  <si>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</si>
  <si>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</si>
  <si>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</si>
  <si>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</si>
  <si>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</si>
  <si>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</si>
  <si>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</si>
  <si>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</si>
  <si>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</si>
  <si>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</si>
  <si>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</si>
  <si>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</si>
  <si>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</si>
  <si>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</si>
  <si>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</si>
  <si>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</si>
  <si>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</si>
  <si>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</si>
  <si>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</si>
  <si>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</si>
  <si>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</si>
  <si>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</si>
  <si>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</si>
  <si>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</si>
  <si>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</si>
  <si>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</si>
  <si>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</si>
  <si>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</si>
  <si>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</si>
  <si>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</si>
  <si>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</si>
  <si>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</si>
  <si>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</si>
  <si>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</si>
  <si>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</si>
  <si>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</si>
  <si>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</si>
  <si>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</si>
  <si>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</si>
  <si>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</si>
  <si>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</si>
  <si>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</si>
  <si>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</si>
  <si>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</si>
  <si>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</si>
  <si>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</si>
  <si>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</si>
  <si>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</si>
  <si>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</si>
  <si>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</si>
  <si>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</si>
  <si>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</si>
  <si>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</si>
  <si>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</si>
  <si>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</si>
  <si>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</si>
  <si>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</si>
  <si>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</si>
  <si>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</si>
  <si>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</si>
  <si>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</si>
  <si>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</si>
  <si>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</si>
  <si>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</si>
  <si>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</si>
  <si>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</si>
  <si>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</si>
  <si>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</si>
  <si>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</si>
  <si>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</si>
  <si>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</si>
  <si>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</si>
  <si>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</si>
  <si>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</si>
  <si>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</si>
  <si>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</si>
  <si>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</si>
  <si>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</si>
  <si>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</si>
  <si>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</si>
  <si>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</si>
  <si>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</si>
  <si>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</si>
  <si>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</si>
  <si>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</si>
  <si>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</si>
  <si>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</si>
  <si>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</si>
  <si>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</si>
  <si>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</si>
  <si>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</si>
  <si>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</si>
  <si>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</si>
  <si>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</si>
  <si>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</si>
  <si>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</si>
  <si>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</si>
  <si>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</si>
  <si>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</si>
  <si>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</si>
  <si>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</si>
  <si>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</si>
  <si>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</si>
  <si>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</si>
  <si>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</si>
  <si>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</si>
  <si>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</si>
  <si>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</si>
  <si>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</si>
  <si>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</si>
  <si>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</si>
  <si>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</si>
  <si>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</si>
  <si>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</si>
  <si>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</si>
  <si>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</si>
  <si>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</si>
  <si>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</si>
  <si>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</si>
  <si>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</si>
  <si>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</si>
  <si>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</si>
  <si>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</si>
  <si>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</si>
  <si>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</si>
  <si>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</si>
  <si>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</si>
  <si>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</si>
  <si>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</si>
  <si>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</si>
  <si>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</si>
  <si>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</si>
  <si>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</si>
  <si>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</si>
  <si>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</si>
  <si>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</si>
  <si>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</si>
  <si>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</si>
  <si>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</si>
  <si>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</si>
  <si>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</si>
  <si>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</si>
  <si>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</si>
  <si>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</si>
  <si>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</si>
  <si>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</si>
  <si>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</si>
  <si>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</si>
  <si>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</si>
  <si>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</si>
  <si>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</si>
  <si>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</si>
  <si>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</si>
  <si>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</si>
  <si>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</si>
  <si>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</si>
  <si>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</si>
  <si>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</si>
  <si>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</si>
  <si>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</si>
  <si>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</si>
  <si>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</si>
  <si>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</si>
  <si>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</si>
  <si>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</si>
  <si>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</si>
  <si>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</si>
  <si>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</si>
  <si>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</si>
  <si>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</si>
  <si>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</si>
  <si>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</si>
  <si>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</si>
  <si>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</si>
  <si>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</si>
  <si>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</si>
  <si>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</si>
  <si>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</si>
  <si>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</si>
  <si>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</si>
  <si>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</si>
  <si>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</si>
  <si>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</si>
  <si>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</si>
  <si>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</si>
  <si>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</si>
  <si>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</si>
  <si>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</si>
  <si>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</si>
  <si>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</si>
  <si>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</si>
  <si>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</si>
  <si>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</si>
  <si>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</si>
  <si>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</si>
  <si>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</si>
  <si>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</si>
  <si>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</si>
  <si>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</si>
  <si>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</si>
  <si>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</si>
  <si>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</si>
  <si>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</si>
  <si>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</si>
  <si>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</si>
  <si>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</si>
  <si>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</si>
  <si>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</si>
  <si>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</si>
  <si>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</si>
  <si>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</si>
  <si>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</si>
  <si>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</si>
  <si>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</si>
  <si>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</si>
  <si>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</si>
  <si>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</si>
  <si>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</si>
  <si>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</si>
  <si>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</si>
  <si>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</si>
  <si>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</si>
  <si>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</si>
  <si>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</si>
  <si>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</si>
  <si>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</si>
  <si>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</si>
  <si>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</si>
  <si>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</si>
  <si>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</si>
  <si>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</si>
  <si>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</si>
  <si>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</si>
  <si>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</si>
  <si>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</si>
  <si>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</si>
  <si>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</si>
  <si>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</si>
  <si>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</si>
  <si>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</si>
  <si>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</si>
  <si>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</si>
  <si>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</si>
  <si>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</si>
  <si>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</si>
  <si>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</si>
  <si>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</si>
  <si>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</si>
  <si>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</si>
  <si>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</si>
  <si>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</si>
  <si>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</si>
  <si>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</si>
  <si>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</si>
  <si>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</si>
  <si>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</si>
  <si>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</si>
  <si>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</si>
  <si>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</si>
  <si>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</si>
  <si>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</si>
  <si>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</si>
  <si>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</si>
  <si>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</si>
  <si>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</si>
  <si>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</si>
  <si>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</si>
  <si>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</si>
  <si>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</si>
  <si>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</si>
  <si>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</si>
  <si>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</si>
  <si>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</si>
  <si>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</si>
  <si>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</si>
  <si>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</si>
  <si>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</si>
  <si>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</si>
  <si>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</si>
  <si>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</si>
  <si>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</si>
  <si>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</si>
  <si>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</si>
  <si>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</si>
  <si>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</si>
  <si>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</si>
  <si>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</si>
  <si>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</si>
  <si>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</si>
  <si>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</si>
  <si>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</si>
  <si>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</si>
  <si>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</si>
  <si>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</si>
  <si>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</si>
  <si>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</si>
  <si>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</si>
  <si>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</si>
  <si>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</si>
  <si>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</si>
  <si>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</si>
  <si>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</si>
  <si>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</si>
  <si>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</si>
  <si>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</si>
  <si>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</si>
  <si>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</si>
  <si>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</si>
  <si>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</si>
  <si>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</si>
  <si>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</si>
  <si>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</si>
  <si>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</si>
  <si>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</si>
  <si>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</si>
  <si>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</si>
  <si>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</si>
  <si>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</si>
  <si>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</si>
  <si>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</si>
  <si>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</si>
  <si>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</si>
  <si>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</si>
  <si>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</si>
  <si>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</si>
  <si>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</si>
  <si>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</si>
  <si>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</si>
  <si>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</si>
  <si>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</si>
  <si>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</si>
  <si>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</si>
  <si>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</si>
  <si>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</si>
  <si>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</si>
  <si>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</si>
  <si>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</si>
  <si>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</si>
  <si>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</si>
  <si>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</si>
  <si>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</si>
  <si>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</si>
  <si>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</si>
  <si>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</si>
  <si>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</si>
  <si>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</si>
  <si>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</si>
  <si>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</si>
  <si>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</si>
  <si>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</si>
  <si>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</si>
  <si>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</si>
  <si>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</si>
  <si>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</si>
  <si>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</si>
  <si>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</si>
  <si>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</si>
  <si>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</si>
  <si>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</si>
  <si>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</si>
  <si>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</si>
  <si>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</si>
  <si>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</si>
  <si>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</si>
  <si>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</si>
  <si>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</si>
  <si>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</si>
  <si>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</si>
  <si>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</si>
  <si>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</si>
  <si>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</si>
  <si>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</si>
  <si>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</si>
  <si>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</si>
  <si>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</si>
  <si>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</si>
  <si>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</si>
  <si>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</si>
  <si>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</si>
  <si>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</si>
  <si>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</si>
  <si>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</si>
  <si>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</si>
  <si>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</si>
  <si>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</si>
  <si>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</si>
  <si>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</si>
  <si>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</si>
  <si>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</si>
  <si>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</si>
  <si>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</si>
  <si>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</si>
  <si>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</si>
  <si>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</si>
  <si>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</si>
  <si>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</si>
  <si>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</si>
  <si>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</si>
  <si>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</si>
  <si>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</si>
  <si>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</si>
  <si>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</si>
  <si>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</si>
  <si>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</si>
  <si>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</si>
  <si>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</si>
  <si>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</si>
  <si>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</si>
  <si>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</si>
  <si>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</si>
  <si>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</si>
  <si>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</si>
  <si>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</si>
  <si>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</si>
  <si>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</si>
  <si>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</si>
  <si>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</si>
  <si>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</si>
  <si>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</si>
  <si>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</si>
  <si>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</si>
  <si>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</si>
  <si>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</si>
  <si>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</si>
  <si>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</si>
  <si>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</si>
  <si>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</si>
  <si>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</si>
  <si>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</si>
  <si>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</si>
  <si>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</si>
  <si>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</si>
  <si>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</si>
  <si>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</si>
  <si>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</si>
  <si>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</si>
  <si>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</si>
  <si>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</si>
  <si>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</si>
  <si>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</si>
  <si>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</si>
  <si>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</si>
  <si>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</si>
  <si>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</si>
  <si>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</si>
  <si>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</si>
  <si>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</si>
  <si>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</si>
  <si>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</si>
  <si>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</si>
  <si>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</si>
  <si>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</si>
  <si>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</si>
  <si>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</si>
  <si>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</si>
  <si>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</si>
  <si>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</si>
  <si>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</si>
  <si>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</si>
  <si>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</si>
  <si>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</si>
  <si>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</si>
  <si>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</si>
  <si>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</si>
  <si>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</si>
  <si>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</si>
  <si>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</si>
  <si>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</si>
  <si>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</si>
  <si>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</si>
  <si>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</si>
  <si>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</si>
  <si>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</si>
  <si>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</si>
  <si>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</si>
  <si>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</si>
  <si>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</si>
  <si>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</si>
  <si>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</si>
  <si>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</si>
  <si>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</si>
  <si>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</si>
  <si>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</si>
  <si>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</si>
  <si>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</si>
  <si>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</si>
  <si>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</si>
  <si>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</si>
  <si>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</si>
  <si>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</si>
  <si>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</si>
  <si>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</si>
  <si>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</si>
  <si>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</si>
  <si>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</si>
  <si>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</si>
  <si>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</si>
  <si>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</si>
  <si>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</si>
  <si>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</si>
  <si>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</si>
  <si>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</si>
  <si>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</si>
  <si>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</si>
  <si>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</si>
  <si>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</si>
  <si>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</si>
  <si>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</si>
  <si>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</si>
  <si>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</si>
  <si>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</si>
  <si>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</si>
  <si>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</si>
  <si>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</si>
  <si>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</si>
  <si>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</si>
  <si>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</si>
  <si>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</si>
  <si>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</si>
  <si>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</si>
  <si>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</si>
  <si>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</si>
  <si>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</si>
  <si>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</si>
  <si>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</si>
  <si>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</si>
  <si>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</si>
  <si>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</si>
  <si>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</si>
  <si>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</si>
  <si>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</si>
  <si>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</si>
  <si>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</si>
  <si>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</si>
  <si>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</si>
  <si>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</si>
  <si>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</si>
  <si>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</si>
  <si>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</si>
  <si>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</si>
  <si>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</si>
  <si>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</si>
  <si>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</si>
  <si>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</si>
  <si>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</si>
  <si>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</si>
  <si>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</si>
  <si>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</si>
  <si>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</si>
  <si>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</si>
  <si>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</si>
  <si>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</si>
  <si>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</si>
  <si>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</si>
  <si>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</si>
  <si>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</si>
  <si>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</si>
  <si>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</si>
  <si>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</si>
  <si>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</si>
  <si>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</si>
  <si>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</si>
  <si>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</si>
  <si>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</si>
  <si>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</si>
  <si>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</si>
  <si>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</si>
  <si>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</si>
  <si>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</si>
  <si>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</si>
  <si>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</si>
  <si>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</si>
  <si>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</si>
  <si>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</si>
  <si>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</si>
  <si>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</si>
  <si>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</si>
  <si>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</si>
  <si>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</si>
  <si>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</si>
  <si>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</si>
  <si>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</si>
  <si>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</si>
  <si>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</si>
  <si>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</si>
  <si>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</si>
  <si>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</si>
  <si>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</si>
  <si>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</si>
  <si>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</si>
  <si>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</si>
  <si>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</si>
  <si>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</si>
  <si>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</si>
  <si>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</si>
  <si>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</si>
  <si>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</si>
  <si>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</si>
  <si>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</si>
  <si>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</si>
  <si>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</si>
  <si>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</si>
  <si>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</si>
  <si>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</si>
  <si>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</si>
  <si>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</si>
  <si>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</si>
  <si>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</si>
  <si>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</si>
  <si>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204328-1</t>
  </si>
  <si>
    <t>STROBEL DO BRAS</t>
  </si>
  <si>
    <t>TIAGO SANTANA</t>
  </si>
  <si>
    <t>ECONOMICO_250</t>
  </si>
  <si>
    <t>CTE NORMAL</t>
  </si>
  <si>
    <t>AGUAS DE LINDOIA - SP</t>
  </si>
  <si>
    <t>WILSON FERNANDES DA SILVA</t>
  </si>
  <si>
    <t>RISSO TRANSPORTES</t>
  </si>
  <si>
    <t>RUBENS DE OLIVEIRA</t>
  </si>
  <si>
    <t>2265-6</t>
  </si>
  <si>
    <t>MATTEL DO BRASI</t>
  </si>
  <si>
    <t>MARLON MARQUES</t>
  </si>
  <si>
    <t>EXPRESSO_250</t>
  </si>
  <si>
    <t>CAJAMAR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</si>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</sst>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[Analise_RUBENS_05102026.xlsx]Resumo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9948.9500000000007</c:v>
                </c:pt>
                <c:pt idx="1">
                  <c:v>250.49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7698.3740000000007</c:v>
                </c:pt>
                <c:pt idx="1">
                  <c:v>138.9708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[Analise_RUBENS_05102026.xlsx]Resumo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9948.9500000000007</c:v>
                </c:pt>
                <c:pt idx="1">
                  <c:v>250.49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STROBEL DO BRAS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7698.3740000000007</c:v>
                </c:pt>
                <c:pt idx="1">
                  <c:v>138.9708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3.4803111111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138" count="8000">
        <n v="304128"/>
        <n v="30413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2T00:00:00" maxDate="2026-10-06T00:00:00"/>
    </cacheField>
    <cacheField name="DATA" numFmtId="14">
      <sharedItems containsNonDate="0" containsDate="1" containsString="0" containsBlank="1" minDate="2026-10-05T00:00:00" maxDate="2026-10-0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TROBEL DO BRAS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20.73" maxValue="521589.5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50.49" maxValue="9948.9500000000007"/>
    </cacheField>
    <cacheField name="VOLUMES" numFmtId="0">
      <sharedItems containsString="0" containsBlank="1" containsNumber="1" containsInteger="1" minValue="1" maxValue="640"/>
    </cacheField>
    <cacheField name="PESO" numFmtId="0">
      <sharedItems containsString="0" containsBlank="1" containsNumber="1" minValue="17.25" maxValue="6861.27"/>
    </cacheField>
    <cacheField name="RESP. COLETA" numFmtId="0">
      <sharedItems containsBlank="1"/>
    </cacheField>
    <cacheField name="CUSTO COLETA" numFmtId="0">
      <sharedItems containsString="0" containsBlank="1" containsNumber="1" minValue="0" maxValue="3.72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0.58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0.06" maxValue="1193.869999999999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1" maxValue="260.7900000000000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98.66" maxValue="6940.87"/>
    </cacheField>
    <cacheField name="RECEITA" numFmtId="0">
      <sharedItems containsString="0" containsBlank="1" containsNumber="1" minValue="151.83000000000001" maxValue="3008.08"/>
    </cacheField>
    <cacheField name="IMPOSTO" numFmtId="0">
      <sharedItems containsString="0" containsBlank="1" containsNumber="1" minValue="65.13" maxValue="2586.73"/>
    </cacheField>
    <cacheField name="RESULTADO" numFmtId="0">
      <sharedItems containsString="0" containsBlank="1" containsNumber="1" minValue="86.7" maxValue="421.35"/>
    </cacheField>
    <cacheField name="COMIS" numFmtId="0">
      <sharedItems containsString="0" containsBlank="1" containsNumber="1" minValue="0" maxValue="6.61"/>
    </cacheField>
    <cacheField name="LUCRO LIQ" numFmtId="0">
      <sharedItems containsString="0" containsBlank="1" containsNumber="1" minValue="80.09" maxValue="421.35"/>
    </cacheField>
    <cacheField name="MARGEM" numFmtId="10">
      <sharedItems containsString="0" containsBlank="1" containsNumber="1" minValue="4.24E-2" maxValue="0.3196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2T00:00:00"/>
    <d v="2026-10-05T00:00:00"/>
    <m/>
    <s v="204328-1"/>
    <x v="0"/>
    <s v="TIAGO SANTANA"/>
    <n v="1020.73"/>
    <x v="0"/>
    <s v="CTE NORMAL"/>
    <s v="AGUAS DE LINDOIA - SP"/>
    <n v="250.49"/>
    <n v="1"/>
    <n v="17.25"/>
    <s v="WILSON FERNANDES DA SILVA"/>
    <n v="3.72"/>
    <s v="RISSO TRANSPORTES"/>
    <n v="50.58"/>
    <s v="RUBENS DE OLIVEIRA"/>
    <n v="0"/>
    <n v="30.06"/>
    <n v="0"/>
    <n v="0"/>
    <n v="0.51"/>
    <n v="0"/>
    <n v="98.66"/>
    <n v="151.83000000000001"/>
    <n v="65.13"/>
    <n v="86.7"/>
    <n v="6.61"/>
    <n v="80.09"/>
    <n v="0.31969999999999998"/>
    <m/>
  </r>
  <r>
    <x v="1"/>
    <s v="MATRIZ"/>
    <d v="2026-10-05T00:00:00"/>
    <d v="2026-10-05T00:00:00"/>
    <m/>
    <s v="2265-6"/>
    <x v="1"/>
    <s v="MARLON MARQUES"/>
    <n v="521589.5"/>
    <x v="1"/>
    <s v="CTE NORMAL"/>
    <s v="CAJAMAR - SP"/>
    <n v="9948.9500000000007"/>
    <n v="640"/>
    <n v="6861.27"/>
    <s v="N/D"/>
    <n v="0"/>
    <s v="N/D"/>
    <n v="0"/>
    <s v="RUBENS DE OLIVEIRA"/>
    <n v="0"/>
    <n v="1193.8699999999999"/>
    <n v="0"/>
    <n v="0"/>
    <n v="260.79000000000002"/>
    <n v="0"/>
    <n v="6940.87"/>
    <n v="3008.08"/>
    <n v="2586.73"/>
    <n v="421.35"/>
    <n v="0"/>
    <n v="421.35"/>
    <n v="4.24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1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4"/>
        <item m="1" x="602"/>
        <item sd="0" m="1" x="449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1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5"/>
        <item sd="0" m="1" x="669"/>
        <item m="1" x="94"/>
        <item m="1" x="439"/>
        <item sd="0" m="1" x="351"/>
        <item m="1" x="784"/>
        <item m="1" x="498"/>
        <item m="1" x="62"/>
        <item m="1" x="455"/>
        <item m="1" x="83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4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x="0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0"/>
        <item m="1" x="425"/>
        <item m="1" x="176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95"/>
    </i>
    <i r="1">
      <x v="7999"/>
    </i>
    <i>
      <x v="735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1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4"/>
        <item m="1" x="602"/>
        <item sd="0" m="1" x="449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8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70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m="1" x="366"/>
        <item m="1" x="490"/>
        <item m="1" x="662"/>
        <item m="1" x="188"/>
        <item m="1" x="659"/>
        <item m="1" x="221"/>
        <item m="1" x="448"/>
        <item m="1" x="147"/>
        <item m="1" x="361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x="1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5"/>
        <item sd="0" m="1" x="669"/>
        <item m="1" x="94"/>
        <item m="1" x="439"/>
        <item sd="0" m="1" x="351"/>
        <item m="1" x="784"/>
        <item m="1" x="498"/>
        <item m="1" x="62"/>
        <item m="1" x="455"/>
        <item m="1" x="83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4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80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x="0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9"/>
        <item m="1" x="679"/>
        <item m="1" x="82"/>
        <item m="1" x="634"/>
        <item m="1" x="67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0"/>
        <item m="1" x="425"/>
        <item m="1" x="176"/>
        <item m="1" x="365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95"/>
    </i>
    <i>
      <x v="73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1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4" s="1" nd="1"/>
        <i x="602" s="1" nd="1"/>
        <i x="449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5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8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4" s="1" nd="1"/>
        <i x="302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70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366" s="1" nd="1"/>
        <i x="490" s="1" nd="1"/>
        <i x="662" s="1" nd="1"/>
        <i x="188" s="1" nd="1"/>
        <i x="659" s="1" nd="1"/>
        <i x="221" s="1" nd="1"/>
        <i x="448" s="1" nd="1"/>
        <i x="147" s="1" nd="1"/>
        <i x="361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5" s="1" nd="1"/>
        <i x="669" s="1" nd="1"/>
        <i x="94" s="1" nd="1"/>
        <i x="439" s="1" nd="1"/>
        <i x="351" s="1" nd="1"/>
        <i x="784" s="1" nd="1"/>
        <i x="498" s="1" nd="1"/>
        <i x="62" s="1" nd="1"/>
        <i x="455" s="1" nd="1"/>
        <i x="83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4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8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3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80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9" s="1" nd="1"/>
        <i x="679" s="1" nd="1"/>
        <i x="82" s="1" nd="1"/>
        <i x="634" s="1" nd="1"/>
        <i x="67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3" s="1" nd="1"/>
        <i x="27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3" s="1" nd="1"/>
        <i x="568" s="1" nd="1"/>
        <i x="430" s="1" nd="1"/>
        <i x="425" s="1" nd="1"/>
        <i x="176" s="1" nd="1"/>
        <i x="365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304128</v>
      </c>
      <c r="B2" s="12" t="s">
        <v>616</v>
      </c>
      <c r="C2" s="14">
        <v>46297</v>
      </c>
      <c r="D2" s="14">
        <v>46300</v>
      </c>
      <c r="E2" s="12"/>
      <c r="F2" s="15" t="s">
        <v>617</v>
      </c>
      <c r="G2" s="15" t="s">
        <v>618</v>
      </c>
      <c r="H2" s="15" t="s">
        <v>619</v>
      </c>
      <c r="I2" s="16">
        <v>1020.73</v>
      </c>
      <c r="J2" s="15" t="s">
        <v>620</v>
      </c>
      <c r="K2" s="15" t="s">
        <v>621</v>
      </c>
      <c r="L2" s="15" t="s">
        <v>622</v>
      </c>
      <c r="M2" s="15">
        <v>250.49</v>
      </c>
      <c r="N2" s="15">
        <v>1</v>
      </c>
      <c r="O2" s="16">
        <v>17.25</v>
      </c>
      <c r="P2" s="15" t="s">
        <v>623</v>
      </c>
      <c r="Q2" s="15">
        <v>3.72</v>
      </c>
      <c r="R2" s="15" t="s">
        <v>624</v>
      </c>
      <c r="S2" s="15">
        <v>50.58</v>
      </c>
      <c r="T2" s="15" t="s">
        <v>625</v>
      </c>
      <c r="U2" s="15">
        <v>0</v>
      </c>
      <c r="V2" s="15">
        <v>30.06</v>
      </c>
      <c r="W2" s="15">
        <v>0</v>
      </c>
      <c r="X2" s="15">
        <v>0</v>
      </c>
      <c r="Y2" s="15">
        <v>0.51</v>
      </c>
      <c r="Z2" s="15">
        <v>0</v>
      </c>
      <c r="AA2" s="15">
        <v>98.66</v>
      </c>
      <c r="AB2" s="15">
        <v>151.83000000000001</v>
      </c>
      <c r="AC2" s="15">
        <v>65.13</v>
      </c>
      <c r="AD2" s="15">
        <v>86.7</v>
      </c>
      <c r="AE2" s="15">
        <v>6.61</v>
      </c>
      <c r="AF2" s="15">
        <v>80.09</v>
      </c>
      <c r="AG2" s="17">
        <v>0.31969999999999998</v>
      </c>
      <c r="AH2" s="15"/>
    </row>
    <row r="3" spans="1:34" s="1" customFormat="1" ht="12" customHeight="1" x14ac:dyDescent="0.3">
      <c r="A3" s="13">
        <v>304138</v>
      </c>
      <c r="B3" s="12" t="s">
        <v>616</v>
      </c>
      <c r="C3" s="14">
        <v>46300</v>
      </c>
      <c r="D3" s="14">
        <v>46300</v>
      </c>
      <c r="E3" s="12"/>
      <c r="F3" s="15" t="s">
        <v>626</v>
      </c>
      <c r="G3" s="15" t="s">
        <v>627</v>
      </c>
      <c r="H3" s="15" t="s">
        <v>628</v>
      </c>
      <c r="I3" s="16">
        <v>521589.5</v>
      </c>
      <c r="J3" s="15" t="s">
        <v>629</v>
      </c>
      <c r="K3" s="15" t="s">
        <v>621</v>
      </c>
      <c r="L3" s="15" t="s">
        <v>630</v>
      </c>
      <c r="M3" s="16">
        <v>9948.9500000000007</v>
      </c>
      <c r="N3" s="15">
        <v>640</v>
      </c>
      <c r="O3" s="16">
        <v>6861.27</v>
      </c>
      <c r="P3" s="15" t="s">
        <v>631</v>
      </c>
      <c r="Q3" s="15">
        <v>0</v>
      </c>
      <c r="R3" s="15" t="s">
        <v>631</v>
      </c>
      <c r="S3" s="15">
        <v>0</v>
      </c>
      <c r="T3" s="15" t="s">
        <v>625</v>
      </c>
      <c r="U3" s="15">
        <v>0</v>
      </c>
      <c r="V3" s="15">
        <v>1193.8699999999999</v>
      </c>
      <c r="W3" s="15">
        <v>0</v>
      </c>
      <c r="X3" s="15">
        <v>0</v>
      </c>
      <c r="Y3" s="15">
        <v>260.79000000000002</v>
      </c>
      <c r="Z3" s="15">
        <v>0</v>
      </c>
      <c r="AA3" s="16">
        <v>6940.87</v>
      </c>
      <c r="AB3" s="16">
        <v>3008.08</v>
      </c>
      <c r="AC3" s="15">
        <v>2586.73</v>
      </c>
      <c r="AD3" s="15">
        <v>421.35</v>
      </c>
      <c r="AE3" s="15">
        <v>0</v>
      </c>
      <c r="AF3" s="15">
        <v>421.35</v>
      </c>
      <c r="AG3" s="17">
        <v>4.24E-2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10199.44</v>
      </c>
      <c r="F3" s="89"/>
      <c r="G3" s="90"/>
      <c r="H3" s="133">
        <f>'Resumo Detalhado'!C2</f>
        <v>6878.52</v>
      </c>
      <c r="I3" s="134"/>
      <c r="J3" s="135">
        <f>E3/H3</f>
        <v>1.4827957176834552</v>
      </c>
      <c r="K3" s="136"/>
      <c r="L3" s="137"/>
      <c r="M3" s="138" t="s">
        <v>41</v>
      </c>
      <c r="N3" s="89"/>
      <c r="O3" s="90"/>
      <c r="P3" s="106">
        <v>22000</v>
      </c>
      <c r="Q3" s="107"/>
      <c r="R3" s="108"/>
      <c r="S3" s="103">
        <f>MIN(H3/P3,1)</f>
        <v>0.31265999999999999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5503.72</v>
      </c>
      <c r="F7" s="112"/>
      <c r="G7" s="112"/>
      <c r="H7" s="112"/>
      <c r="I7" s="112"/>
      <c r="J7" s="112">
        <f>E7/H3</f>
        <v>0.8001314236201974</v>
      </c>
      <c r="K7" s="112"/>
      <c r="L7" s="112"/>
      <c r="M7" s="130">
        <f>E7/E3</f>
        <v>0.53961001780489914</v>
      </c>
      <c r="N7" s="130"/>
      <c r="O7" s="130"/>
      <c r="P7" s="112">
        <f>E11+K11+Q11+E15+K15+Q15+E19+H19+K19</f>
        <v>9436.8155999999999</v>
      </c>
      <c r="Q7" s="112"/>
      <c r="R7" s="112"/>
      <c r="S7" s="112">
        <f>P7/H3</f>
        <v>1.371925297883847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5500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5500</v>
      </c>
      <c r="L11" s="90"/>
      <c r="M11" s="38"/>
      <c r="N11" s="88">
        <f>K11/H3</f>
        <v>0.79959060960788075</v>
      </c>
      <c r="O11" s="90"/>
      <c r="P11" s="38"/>
      <c r="Q11" s="88">
        <f>'Resumo Detalhado'!D2</f>
        <v>3.72</v>
      </c>
      <c r="R11" s="90"/>
      <c r="S11" s="38"/>
      <c r="T11" s="88">
        <f>Q11/H3</f>
        <v>5.4081401231660295E-4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1223.9299999999998</v>
      </c>
      <c r="F15" s="119"/>
      <c r="G15" s="119"/>
      <c r="H15" s="119"/>
      <c r="I15" s="132"/>
      <c r="J15" s="38"/>
      <c r="K15" s="113">
        <f>'Resumo Detalhado'!K2+'Resumo Detalhado'!L2</f>
        <v>1631.9104000000002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261.3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815.9552000000001</v>
      </c>
      <c r="L19" s="123"/>
      <c r="M19" s="38"/>
      <c r="N19" s="121" t="s">
        <v>461</v>
      </c>
      <c r="O19" s="119"/>
      <c r="P19" s="119"/>
      <c r="Q19" s="119"/>
      <c r="R19" s="120"/>
      <c r="S19" s="121">
        <f>_xlfn.XLOOKUP(N19,Target!C:C,Target!D:D)</f>
        <v>5500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7837.3448000000008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0.7684093244334983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10199.44</v>
      </c>
      <c r="C2" s="29">
        <f>SUM(C6:C5000)</f>
        <v>6878.52</v>
      </c>
      <c r="D2" s="29">
        <f>SUM(D6:D5000)</f>
        <v>3.72</v>
      </c>
      <c r="E2" s="29">
        <f>SUM(E6:E5000)</f>
        <v>50.58</v>
      </c>
      <c r="F2" s="29">
        <f>SUM(F6:F5000)</f>
        <v>0</v>
      </c>
      <c r="G2" s="29"/>
      <c r="H2" s="29">
        <f t="shared" ref="H2:P2" si="0">SUM(H6:H5000)</f>
        <v>1223.9299999999998</v>
      </c>
      <c r="I2" s="29">
        <f t="shared" si="0"/>
        <v>261.3</v>
      </c>
      <c r="J2" s="29">
        <f t="shared" si="0"/>
        <v>0</v>
      </c>
      <c r="K2" s="29">
        <f t="shared" si="0"/>
        <v>815.9552000000001</v>
      </c>
      <c r="L2" s="29">
        <f t="shared" si="0"/>
        <v>815.9552000000001</v>
      </c>
      <c r="M2" s="29">
        <f t="shared" si="0"/>
        <v>6.61</v>
      </c>
      <c r="N2" s="29">
        <f t="shared" si="0"/>
        <v>7837.3448000000008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304138</v>
      </c>
      <c r="B6" s="139">
        <v>9948.9500000000007</v>
      </c>
      <c r="C6" s="140">
        <v>6861.27</v>
      </c>
      <c r="D6" s="139">
        <v>0</v>
      </c>
      <c r="E6" s="139">
        <v>0</v>
      </c>
      <c r="F6" s="139">
        <v>0</v>
      </c>
      <c r="G6" s="141">
        <v>0</v>
      </c>
      <c r="H6" s="139">
        <v>1193.8699999999999</v>
      </c>
      <c r="I6" s="139">
        <v>260.79000000000002</v>
      </c>
      <c r="J6" s="139">
        <v>0</v>
      </c>
      <c r="K6" s="139">
        <v>795.91600000000005</v>
      </c>
      <c r="L6" s="139">
        <v>795.91600000000005</v>
      </c>
      <c r="M6" s="139">
        <v>0</v>
      </c>
      <c r="N6" s="139">
        <v>7698.3740000000007</v>
      </c>
      <c r="O6" s="141">
        <v>0.77378758562461369</v>
      </c>
      <c r="Q6"/>
    </row>
    <row r="7" spans="1:18" s="31" customFormat="1" x14ac:dyDescent="0.3">
      <c r="A7" s="9" t="s">
        <v>618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304128</v>
      </c>
      <c r="B8" s="139">
        <v>250.49</v>
      </c>
      <c r="C8" s="140">
        <v>17.25</v>
      </c>
      <c r="D8" s="139">
        <v>3.72</v>
      </c>
      <c r="E8" s="139">
        <v>50.58</v>
      </c>
      <c r="F8" s="139">
        <v>0</v>
      </c>
      <c r="G8" s="141">
        <v>0.21677512076330391</v>
      </c>
      <c r="H8" s="139">
        <v>30.06</v>
      </c>
      <c r="I8" s="139">
        <v>0.51</v>
      </c>
      <c r="J8" s="139">
        <v>0</v>
      </c>
      <c r="K8" s="139">
        <v>20.039200000000001</v>
      </c>
      <c r="L8" s="139">
        <v>20.039200000000001</v>
      </c>
      <c r="M8" s="139">
        <v>6.61</v>
      </c>
      <c r="N8" s="139">
        <v>138.9708</v>
      </c>
      <c r="O8" s="141">
        <v>0.55479580023154618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250.49</v>
      </c>
      <c r="C2" s="29">
        <f>SUM(C6:C5000)</f>
        <v>138.9708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627</v>
      </c>
      <c r="B5" s="10">
        <v>9948.9500000000007</v>
      </c>
      <c r="C5" s="10">
        <v>7698.3740000000007</v>
      </c>
    </row>
    <row r="6" spans="1:4" x14ac:dyDescent="0.3">
      <c r="A6" s="9" t="s">
        <v>618</v>
      </c>
      <c r="B6" s="139">
        <v>250.49</v>
      </c>
      <c r="C6" s="139">
        <v>138.9708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2026-10-08T14:31:46Z</dcterms:modified>
  <cp:category/>
  <cp:contentStatus/>
</cp:coreProperties>
</file>