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FE5AEF6-2B94-4889-8434-3953A182188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<sst xmlns="http://schemas.openxmlformats.org/spreadsheetml/2006/main" count="915" uniqueCount="633">
  <si>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</si>
  <si>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</si>
  <si>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</si>
  <si>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</si>
  <si>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</si>
  <si>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</si>
  <si>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</si>
  <si>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</si>
  <si>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</si>
  <si>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</si>
  <si>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</si>
  <si>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</si>
  <si>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</si>
  <si>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</si>
  <si>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</si>
  <si>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</si>
  <si>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</si>
  <si>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</si>
  <si>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</si>
  <si>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</si>
  <si>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</si>
  <si>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</si>
  <si>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</si>
  <si>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</si>
  <si>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</si>
  <si>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</si>
  <si>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</si>
  <si>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</si>
  <si>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</si>
  <si>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</si>
  <si>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</si>
  <si>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</si>
  <si>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</si>
  <si>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</si>
  <si>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</si>
  <si>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</si>
  <si>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</si>
  <si>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</si>
  <si>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</si>
  <si>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</si>
  <si>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</si>
  <si>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</si>
  <si>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</si>
  <si>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</si>
  <si>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</si>
  <si>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</si>
  <si>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</si>
  <si>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</si>
  <si>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</si>
  <si>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</si>
  <si>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</si>
  <si>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</si>
  <si>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</si>
  <si>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</si>
  <si>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</si>
  <si>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</si>
  <si>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</si>
  <si>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</si>
  <si>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</si>
  <si>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</si>
  <si>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</si>
  <si>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</si>
  <si>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</si>
  <si>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</si>
  <si>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</si>
  <si>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</si>
  <si>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</si>
  <si>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</si>
  <si>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</si>
  <si>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</si>
  <si>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</si>
  <si>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</si>
  <si>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</si>
  <si>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</si>
  <si>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</si>
  <si>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</si>
  <si>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</si>
  <si>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</si>
  <si>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</si>
  <si>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</si>
  <si>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</si>
  <si>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</si>
  <si>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</si>
  <si>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</si>
  <si>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</si>
  <si>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</si>
  <si>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</si>
  <si>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</si>
  <si>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</si>
  <si>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</si>
  <si>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</si>
  <si>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</si>
  <si>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</si>
  <si>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</si>
  <si>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</si>
  <si>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</si>
  <si>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</si>
  <si>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</si>
  <si>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</si>
  <si>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</si>
  <si>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</si>
  <si>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</si>
  <si>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</si>
  <si>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</si>
  <si>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</si>
  <si>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</si>
  <si>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</si>
  <si>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</si>
  <si>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</si>
  <si>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</si>
  <si>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</si>
  <si>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</si>
  <si>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</si>
  <si>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</si>
  <si>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</si>
  <si>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</si>
  <si>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</si>
  <si>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</si>
  <si>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</si>
  <si>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</si>
  <si>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</si>
  <si>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</si>
  <si>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</si>
  <si>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</si>
  <si>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</si>
  <si>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</si>
  <si>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</si>
  <si>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</si>
  <si>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</si>
  <si>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</si>
  <si>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</si>
  <si>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</si>
  <si>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</si>
  <si>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</si>
  <si>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</si>
  <si>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</si>
  <si>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</si>
  <si>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</si>
  <si>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</si>
  <si>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</si>
  <si>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</si>
  <si>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</si>
  <si>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</si>
  <si>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</si>
  <si>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</si>
  <si>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</si>
  <si>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</si>
  <si>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</si>
  <si>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</si>
  <si>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</si>
  <si>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</si>
  <si>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</si>
  <si>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</si>
  <si>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</si>
  <si>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</si>
  <si>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</si>
  <si>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</si>
  <si>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</si>
  <si>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</si>
  <si>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</si>
  <si>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</si>
  <si>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</si>
  <si>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</si>
  <si>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</si>
  <si>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</si>
  <si>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</si>
  <si>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</si>
  <si>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</si>
  <si>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</si>
  <si>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</si>
  <si>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</si>
  <si>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</si>
  <si>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</si>
  <si>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</si>
  <si>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</si>
  <si>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</si>
  <si>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</si>
  <si>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</si>
  <si>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</si>
  <si>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</si>
  <si>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</si>
  <si>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</si>
  <si>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</si>
  <si>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</si>
  <si>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</si>
  <si>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</si>
  <si>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</si>
  <si>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</si>
  <si>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</si>
  <si>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</si>
  <si>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</si>
  <si>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</si>
  <si>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</si>
  <si>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</si>
  <si>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</si>
  <si>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</si>
  <si>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</si>
  <si>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</si>
  <si>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</si>
  <si>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</si>
  <si>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</si>
  <si>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</si>
  <si>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</si>
  <si>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</si>
  <si>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</si>
  <si>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</si>
  <si>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</si>
  <si>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</si>
  <si>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</si>
  <si>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</si>
  <si>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</si>
  <si>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</si>
  <si>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</si>
  <si>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</si>
  <si>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</si>
  <si>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</si>
  <si>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</si>
  <si>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</si>
  <si>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</si>
  <si>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</si>
  <si>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</si>
  <si>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</si>
  <si>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</si>
  <si>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</si>
  <si>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</si>
  <si>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</si>
  <si>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</si>
  <si>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</si>
  <si>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</si>
  <si>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</si>
  <si>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</si>
  <si>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</si>
  <si>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</si>
  <si>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</si>
  <si>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</si>
  <si>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</si>
  <si>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</si>
  <si>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</si>
  <si>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</si>
  <si>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</si>
  <si>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</si>
  <si>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</si>
  <si>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</si>
  <si>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</si>
  <si>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</si>
  <si>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</si>
  <si>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</si>
  <si>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</si>
  <si>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</si>
  <si>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</si>
  <si>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</si>
  <si>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</si>
  <si>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</si>
  <si>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</si>
  <si>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</si>
  <si>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</si>
  <si>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</si>
  <si>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</si>
  <si>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</si>
  <si>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</si>
  <si>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</si>
  <si>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</si>
  <si>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</si>
  <si>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</si>
  <si>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</si>
  <si>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</si>
  <si>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</si>
  <si>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</si>
  <si>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</si>
  <si>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</si>
  <si>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</si>
  <si>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</si>
  <si>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</si>
  <si>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</si>
  <si>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</si>
  <si>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</si>
  <si>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</si>
  <si>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</si>
  <si>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</si>
  <si>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</si>
  <si>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</si>
  <si>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</si>
  <si>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</si>
  <si>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</si>
  <si>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</si>
  <si>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</si>
  <si>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</si>
  <si>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</si>
  <si>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</si>
  <si>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</si>
  <si>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</si>
  <si>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</si>
  <si>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</si>
  <si>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</si>
  <si>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</si>
  <si>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</si>
  <si>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</si>
  <si>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</si>
  <si>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</si>
  <si>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</si>
  <si>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</si>
  <si>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</si>
  <si>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</si>
  <si>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</si>
  <si>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</si>
  <si>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</si>
  <si>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</si>
  <si>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</si>
  <si>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</si>
  <si>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</si>
  <si>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</si>
  <si>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</si>
  <si>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</si>
  <si>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</si>
  <si>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</si>
  <si>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</si>
  <si>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</si>
  <si>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</si>
  <si>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</si>
  <si>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</si>
  <si>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</si>
  <si>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</si>
  <si>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</si>
  <si>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</si>
  <si>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</si>
  <si>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</si>
  <si>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</si>
  <si>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</si>
  <si>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</si>
  <si>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</si>
  <si>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</si>
  <si>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</si>
  <si>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</si>
  <si>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</si>
  <si>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</si>
  <si>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</si>
  <si>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</si>
  <si>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</si>
  <si>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</si>
  <si>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</si>
  <si>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</si>
  <si>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</si>
  <si>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</si>
  <si>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</si>
  <si>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</si>
  <si>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</si>
  <si>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</si>
  <si>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</si>
  <si>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</si>
  <si>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</si>
  <si>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</si>
  <si>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</si>
  <si>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</si>
  <si>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</si>
  <si>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</si>
  <si>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</si>
  <si>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</si>
  <si>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</si>
  <si>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</si>
  <si>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</si>
  <si>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</si>
  <si>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</si>
  <si>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</si>
  <si>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</si>
  <si>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</si>
  <si>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</si>
  <si>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</si>
  <si>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</si>
  <si>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</si>
  <si>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</si>
  <si>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</si>
  <si>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</si>
  <si>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</si>
  <si>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</si>
  <si>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</si>
  <si>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</si>
  <si>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</si>
  <si>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</si>
  <si>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</si>
  <si>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</si>
  <si>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</si>
  <si>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</si>
  <si>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</si>
  <si>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</si>
  <si>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</si>
  <si>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</si>
  <si>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</si>
  <si>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</si>
  <si>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</si>
  <si>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</si>
  <si>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</si>
  <si>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</si>
  <si>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</si>
  <si>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</si>
  <si>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</si>
  <si>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</si>
  <si>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</si>
  <si>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</si>
  <si>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</si>
  <si>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</si>
  <si>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</si>
  <si>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</si>
  <si>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</si>
  <si>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</si>
  <si>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</si>
  <si>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</si>
  <si>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</si>
  <si>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</si>
  <si>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</si>
  <si>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</si>
  <si>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</si>
  <si>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</si>
  <si>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</si>
  <si>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</si>
  <si>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</si>
  <si>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</si>
  <si>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</si>
  <si>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</si>
  <si>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</si>
  <si>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</si>
  <si>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</si>
  <si>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</si>
  <si>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</si>
  <si>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</si>
  <si>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</si>
  <si>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</si>
  <si>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</si>
  <si>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</si>
  <si>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</si>
  <si>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</si>
  <si>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</si>
  <si>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</si>
  <si>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</si>
  <si>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</si>
  <si>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</si>
  <si>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</si>
  <si>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</si>
  <si>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</si>
  <si>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</si>
  <si>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</si>
  <si>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</si>
  <si>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</si>
  <si>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</si>
  <si>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</si>
  <si>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</si>
  <si>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</si>
  <si>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</si>
  <si>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</si>
  <si>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</si>
  <si>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</si>
  <si>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</si>
  <si>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</si>
  <si>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</si>
  <si>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</si>
  <si>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</si>
  <si>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</si>
  <si>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</si>
  <si>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</si>
  <si>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</si>
  <si>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</si>
  <si>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</si>
  <si>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</si>
  <si>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</si>
  <si>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</si>
  <si>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</si>
  <si>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</si>
  <si>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</si>
  <si>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</si>
  <si>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</si>
  <si>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</si>
  <si>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</si>
  <si>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</si>
  <si>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</si>
  <si>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</si>
  <si>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</si>
  <si>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</si>
  <si>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</si>
  <si>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</si>
  <si>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</si>
  <si>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</si>
  <si>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</si>
  <si>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</si>
  <si>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</si>
  <si>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</si>
  <si>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</si>
  <si>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</si>
  <si>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</si>
  <si>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</si>
  <si>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</si>
  <si>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</si>
  <si>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</si>
  <si>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</si>
  <si>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</si>
  <si>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</si>
  <si>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</si>
  <si>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</si>
  <si>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</si>
  <si>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</si>
  <si>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</si>
  <si>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</si>
  <si>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</si>
  <si>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</si>
  <si>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</si>
  <si>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</si>
  <si>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</si>
  <si>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</si>
  <si>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</si>
  <si>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</si>
  <si>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</si>
  <si>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</si>
  <si>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</si>
  <si>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</si>
  <si>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</si>
  <si>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</si>
  <si>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</si>
  <si>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</si>
  <si>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</si>
  <si>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</si>
  <si>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</si>
  <si>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</si>
  <si>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</si>
  <si>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</si>
  <si>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</si>
  <si>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</si>
  <si>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</si>
  <si>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</si>
  <si>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</si>
  <si>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</si>
  <si>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</si>
  <si>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</si>
  <si>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</si>
  <si>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</si>
  <si>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</si>
  <si>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</si>
  <si>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</si>
  <si>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</si>
  <si>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</si>
  <si>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</si>
  <si>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</si>
  <si>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</si>
  <si>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</si>
  <si>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</si>
  <si>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</si>
  <si>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</si>
  <si>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</si>
  <si>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</si>
  <si>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</si>
  <si>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</si>
  <si>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</si>
  <si>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</si>
  <si>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</si>
  <si>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</si>
  <si>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</si>
  <si>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</si>
  <si>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</si>
  <si>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</si>
  <si>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</si>
  <si>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</si>
  <si>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</si>
  <si>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</si>
  <si>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</si>
  <si>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</si>
  <si>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</si>
  <si>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</si>
  <si>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</si>
  <si>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</si>
  <si>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</si>
  <si>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</si>
  <si>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</si>
  <si>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</si>
  <si>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</si>
  <si>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</si>
  <si>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</si>
  <si>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</si>
  <si>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</si>
  <si>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</si>
  <si>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</si>
  <si>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</si>
  <si>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</si>
  <si>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</si>
  <si>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</si>
  <si>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</si>
  <si>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</si>
  <si>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</si>
  <si>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</si>
  <si>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</si>
  <si>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</si>
  <si>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</si>
  <si>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</si>
  <si>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</si>
  <si>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</si>
  <si>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</si>
  <si>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</si>
  <si>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</si>
  <si>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</si>
  <si>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</si>
  <si>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</si>
  <si>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</si>
  <si>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</si>
  <si>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</si>
  <si>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</si>
  <si>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</si>
  <si>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</si>
  <si>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</si>
  <si>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</si>
  <si>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</si>
  <si>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</si>
  <si>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</si>
  <si>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</si>
  <si>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</si>
  <si>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</si>
  <si>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</si>
  <si>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</si>
  <si>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</si>
  <si>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</si>
  <si>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</si>
  <si>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</si>
  <si>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203768-1</t>
  </si>
  <si>
    <t>PLOT SERVICOS C</t>
  </si>
  <si>
    <t>CAIO LUCIANO MATIAS</t>
  </si>
  <si>
    <t>ECONOMICO_250</t>
  </si>
  <si>
    <t>CTE NORMAL</t>
  </si>
  <si>
    <t>AGUDOS - SP</t>
  </si>
  <si>
    <t>JAIR BATISTA</t>
  </si>
  <si>
    <t>ARNALDO BAURU EXPRESS</t>
  </si>
  <si>
    <t>MARCIA CRISTINA BARBOSA B</t>
  </si>
  <si>
    <t>204342-1</t>
  </si>
  <si>
    <t>SKO COMERCIO, I</t>
  </si>
  <si>
    <t>URIEL CORREA</t>
  </si>
  <si>
    <t>JUNDIAI - SP</t>
  </si>
  <si>
    <t>PORTOEX SP</t>
  </si>
  <si>
    <t>São Paulo-Sp X Agudos-Spvan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</si>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</sst>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[Analise_TAKETOMI_05102026.xlsx]Resumo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1835.43</c:v>
                </c:pt>
                <c:pt idx="1">
                  <c:v>147.55000000000001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1261.3056000000001</c:v>
                </c:pt>
                <c:pt idx="1">
                  <c:v>60.495999999999995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[Analise_TAKETOMI_05102026.xlsx]Resumo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1835.43</c:v>
                </c:pt>
                <c:pt idx="1">
                  <c:v>147.55000000000001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PLOT SERVICOS C</c:v>
                </c:pt>
                <c:pt idx="1">
                  <c:v>SKO COMERCIO, 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1261.3056000000001</c:v>
                </c:pt>
                <c:pt idx="1">
                  <c:v>60.495999999999995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3.480021990741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147" count="8000">
        <n v="302482"/>
        <n v="30414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10-06T00:00:00"/>
    </cacheField>
    <cacheField name="DATA" numFmtId="14">
      <sharedItems containsNonDate="0" containsDate="1" containsString="0" containsBlank="1" minDate="2026-09-24T00:00:00" maxDate="2026-10-06T00:00:00"/>
    </cacheField>
    <cacheField name="FAT" numFmtId="0">
      <sharedItems containsString="0" containsBlank="1" containsNumber="1" containsInteger="1" minValue="66253" maxValue="66253"/>
    </cacheField>
    <cacheField name="CT-E" numFmtId="0">
      <sharedItems containsBlank="1"/>
    </cacheField>
    <cacheField name="CLIENTE TOMADOR" numFmtId="0">
      <sharedItems containsBlank="1" count="855">
        <s v="PLOT SERVICOS C"/>
        <s v="SKO COMERCIO, 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785.34" maxValue="108000"/>
    </cacheField>
    <cacheField name="SERVICO" numFmtId="0">
      <sharedItems containsBlank="1" count="27"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7.55000000000001" maxValue="1835.43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24.78" maxValue="151"/>
    </cacheField>
    <cacheField name="RESP. COLETA" numFmtId="0">
      <sharedItems containsBlank="1"/>
    </cacheField>
    <cacheField name="CUSTO COLETA" numFmtId="0">
      <sharedItems containsString="0" containsBlank="1" containsNumber="1" minValue="4.21" maxValue="46.85"/>
    </cacheField>
    <cacheField name="RESP. ENTREGA" numFmtId="0">
      <sharedItems containsBlank="1"/>
    </cacheField>
    <cacheField name="CUSTO ENTREGA" numFmtId="0">
      <sharedItems containsString="0" containsBlank="1" containsNumber="1" minValue="51.94" maxValue="103.4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71" maxValue="220.2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39" maxValue="54"/>
    </cacheField>
    <cacheField name="OUTROS" numFmtId="0">
      <sharedItems containsString="0" containsBlank="1" containsNumber="1" minValue="0" maxValue="2.79"/>
    </cacheField>
    <cacheField name="C.TOTAL" numFmtId="0">
      <sharedItems containsString="0" containsBlank="1" containsNumber="1" minValue="244.42" maxValue="1501.76"/>
    </cacheField>
    <cacheField name="RECEITA" numFmtId="0">
      <sharedItems containsString="0" containsBlank="1" containsNumber="1" minValue="-96.87" maxValue="333.67"/>
    </cacheField>
    <cacheField name="IMPOSTO" numFmtId="0">
      <sharedItems containsString="0" containsBlank="1" containsNumber="1" minValue="38.36" maxValue="477.21"/>
    </cacheField>
    <cacheField name="RESULTADO" numFmtId="0">
      <sharedItems containsString="0" containsBlank="1" containsNumber="1" minValue="-192" maxValue="-135.22999999999999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92" maxValue="-135.22999999999999"/>
    </cacheField>
    <cacheField name="MARGEM" numFmtId="10">
      <sharedItems containsString="0" containsBlank="1" containsNumber="1" minValue="-0.91650000000000009" maxValue="-0.1046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4T00:00:00"/>
    <d v="2026-09-24T00:00:00"/>
    <n v="66253"/>
    <s v="203768-1"/>
    <x v="0"/>
    <s v="CAIO LUCIANO MATIAS"/>
    <n v="108000"/>
    <x v="0"/>
    <s v="CTE NORMAL"/>
    <s v="AGUDOS - SP"/>
    <n v="1835.43"/>
    <n v="1"/>
    <n v="151"/>
    <s v="JAIR BATISTA"/>
    <n v="46.85"/>
    <s v="ARNALDO BAURU EXPRESS"/>
    <n v="103.4"/>
    <s v="MARCIA CRISTINA BARBOSA B"/>
    <n v="0"/>
    <n v="220.25"/>
    <n v="0"/>
    <n v="0"/>
    <n v="54"/>
    <n v="2.79"/>
    <n v="1501.76"/>
    <n v="333.67"/>
    <n v="477.21"/>
    <n v="-192"/>
    <n v="0"/>
    <n v="-192"/>
    <n v="-0.10460000000000001"/>
    <m/>
  </r>
  <r>
    <x v="1"/>
    <s v="MATRIZ"/>
    <d v="2026-10-05T00:00:00"/>
    <d v="2026-10-05T00:00:00"/>
    <m/>
    <s v="204342-1"/>
    <x v="1"/>
    <s v="URIEL CORREA"/>
    <n v="2785.34"/>
    <x v="0"/>
    <s v="CTE NORMAL"/>
    <s v="JUNDIAI - SP"/>
    <n v="147.55000000000001"/>
    <n v="1"/>
    <n v="24.78"/>
    <s v="JAIR BATISTA"/>
    <n v="4.21"/>
    <s v="PORTOEX SP"/>
    <n v="51.94"/>
    <s v="MARCIA CRISTINA BARBOSA B"/>
    <n v="0"/>
    <n v="17.71"/>
    <n v="0"/>
    <n v="0"/>
    <n v="1.39"/>
    <n v="0"/>
    <n v="244.42"/>
    <n v="-96.87"/>
    <n v="38.36"/>
    <n v="-135.22999999999999"/>
    <n v="0"/>
    <n v="-135.22999999999999"/>
    <n v="-0.91650000000000009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3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8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4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x="0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1"/>
        <item m="1" x="51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8"/>
        <item m="1" x="277"/>
        <item m="1" x="507"/>
        <item sd="0" m="1" x="499"/>
        <item m="1" x="68"/>
        <item m="1" x="679"/>
        <item m="1" x="80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7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1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03"/>
    </i>
    <i r="1">
      <x v="7998"/>
    </i>
    <i>
      <x v="71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5"/>
        <item m="1" x="581"/>
        <item m="1" x="852"/>
        <item m="1" x="21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79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5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3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2"/>
        <item m="1" x="602"/>
        <item sd="0" m="1" x="449"/>
        <item m="1" x="348"/>
        <item m="1" x="78"/>
        <item m="1" x="582"/>
        <item m="1" x="19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7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6"/>
        <item m="1" x="231"/>
        <item m="1" x="240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8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2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4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2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3"/>
        <item m="1" x="325"/>
        <item m="1" x="35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1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9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20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x="0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6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4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x="1"/>
        <item m="1" x="51"/>
        <item m="1" x="851"/>
        <item m="1" x="30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8"/>
        <item m="1" x="277"/>
        <item m="1" x="507"/>
        <item sd="0" m="1" x="499"/>
        <item m="1" x="68"/>
        <item m="1" x="679"/>
        <item m="1" x="80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7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1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6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3"/>
        <item m="1" x="10"/>
        <item m="1" x="13"/>
        <item m="1" x="25"/>
        <item m="1" x="18"/>
        <item x="1"/>
        <item m="1" x="7"/>
        <item m="1" x="2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03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5" s="1" nd="1"/>
        <i x="581" s="1" nd="1"/>
        <i x="852" s="1" nd="1"/>
        <i x="21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79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3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2" s="1" nd="1"/>
        <i x="602" s="1" nd="1"/>
        <i x="449" s="1" nd="1"/>
        <i x="348" s="1" nd="1"/>
        <i x="78" s="1" nd="1"/>
        <i x="582" s="1" nd="1"/>
        <i x="19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6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8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2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4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2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3" s="1" nd="1"/>
        <i x="325" s="1" nd="1"/>
        <i x="35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1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20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6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4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51" s="1" nd="1"/>
        <i x="851" s="1" nd="1"/>
        <i x="30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8" s="1" nd="1"/>
        <i x="277" s="1" nd="1"/>
        <i x="507" s="1" nd="1"/>
        <i x="499" s="1" nd="1"/>
        <i x="68" s="1" nd="1"/>
        <i x="679" s="1" nd="1"/>
        <i x="80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7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1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6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3" s="1" nd="1"/>
        <i x="23" s="1" nd="1"/>
        <i x="6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302482</v>
      </c>
      <c r="B2" s="12" t="s">
        <v>616</v>
      </c>
      <c r="C2" s="14">
        <v>46289</v>
      </c>
      <c r="D2" s="14">
        <v>46289</v>
      </c>
      <c r="E2" s="12">
        <v>66253</v>
      </c>
      <c r="F2" s="15" t="s">
        <v>617</v>
      </c>
      <c r="G2" s="15" t="s">
        <v>618</v>
      </c>
      <c r="H2" s="15" t="s">
        <v>619</v>
      </c>
      <c r="I2" s="16">
        <v>108000</v>
      </c>
      <c r="J2" s="15" t="s">
        <v>620</v>
      </c>
      <c r="K2" s="15" t="s">
        <v>621</v>
      </c>
      <c r="L2" s="15" t="s">
        <v>622</v>
      </c>
      <c r="M2" s="15">
        <v>1835.43</v>
      </c>
      <c r="N2" s="15">
        <v>1</v>
      </c>
      <c r="O2" s="16">
        <v>151</v>
      </c>
      <c r="P2" s="15" t="s">
        <v>623</v>
      </c>
      <c r="Q2" s="15">
        <v>46.85</v>
      </c>
      <c r="R2" s="15" t="s">
        <v>624</v>
      </c>
      <c r="S2" s="15">
        <v>103.4</v>
      </c>
      <c r="T2" s="15" t="s">
        <v>625</v>
      </c>
      <c r="U2" s="15">
        <v>0</v>
      </c>
      <c r="V2" s="15">
        <v>220.25</v>
      </c>
      <c r="W2" s="15">
        <v>0</v>
      </c>
      <c r="X2" s="15">
        <v>0</v>
      </c>
      <c r="Y2" s="15">
        <v>54</v>
      </c>
      <c r="Z2" s="15">
        <v>2.79</v>
      </c>
      <c r="AA2" s="15">
        <v>1501.76</v>
      </c>
      <c r="AB2" s="15">
        <v>333.67</v>
      </c>
      <c r="AC2" s="15">
        <v>477.21</v>
      </c>
      <c r="AD2" s="15">
        <v>-192</v>
      </c>
      <c r="AE2" s="15">
        <v>0</v>
      </c>
      <c r="AF2" s="15">
        <v>-192</v>
      </c>
      <c r="AG2" s="17">
        <v>-0.10460000000000001</v>
      </c>
      <c r="AH2" s="15"/>
    </row>
    <row r="3" spans="1:34" s="1" customFormat="1" ht="12" customHeight="1" x14ac:dyDescent="0.3">
      <c r="A3" s="13">
        <v>304147</v>
      </c>
      <c r="B3" s="12" t="s">
        <v>616</v>
      </c>
      <c r="C3" s="14">
        <v>46300</v>
      </c>
      <c r="D3" s="14">
        <v>46300</v>
      </c>
      <c r="E3" s="12"/>
      <c r="F3" s="15" t="s">
        <v>626</v>
      </c>
      <c r="G3" s="15" t="s">
        <v>627</v>
      </c>
      <c r="H3" s="15" t="s">
        <v>628</v>
      </c>
      <c r="I3" s="16">
        <v>2785.34</v>
      </c>
      <c r="J3" s="15" t="s">
        <v>620</v>
      </c>
      <c r="K3" s="15" t="s">
        <v>621</v>
      </c>
      <c r="L3" s="15" t="s">
        <v>629</v>
      </c>
      <c r="M3" s="16">
        <v>147.55000000000001</v>
      </c>
      <c r="N3" s="15">
        <v>1</v>
      </c>
      <c r="O3" s="16">
        <v>24.78</v>
      </c>
      <c r="P3" s="15" t="s">
        <v>623</v>
      </c>
      <c r="Q3" s="15">
        <v>4.21</v>
      </c>
      <c r="R3" s="15" t="s">
        <v>630</v>
      </c>
      <c r="S3" s="15">
        <v>51.94</v>
      </c>
      <c r="T3" s="15" t="s">
        <v>625</v>
      </c>
      <c r="U3" s="15">
        <v>0</v>
      </c>
      <c r="V3" s="15">
        <v>17.71</v>
      </c>
      <c r="W3" s="15">
        <v>0</v>
      </c>
      <c r="X3" s="15">
        <v>0</v>
      </c>
      <c r="Y3" s="15">
        <v>1.39</v>
      </c>
      <c r="Z3" s="15">
        <v>0</v>
      </c>
      <c r="AA3" s="16">
        <v>244.42</v>
      </c>
      <c r="AB3" s="16">
        <v>-96.87</v>
      </c>
      <c r="AC3" s="15">
        <v>38.36</v>
      </c>
      <c r="AD3" s="15">
        <v>-135.22999999999999</v>
      </c>
      <c r="AE3" s="15">
        <v>0</v>
      </c>
      <c r="AF3" s="15">
        <v>-135.22999999999999</v>
      </c>
      <c r="AG3" s="17">
        <v>-0.91650000000000009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1982.98</v>
      </c>
      <c r="F3" s="89"/>
      <c r="G3" s="90"/>
      <c r="H3" s="133">
        <f>'Resumo Detalhado'!C2</f>
        <v>175.78</v>
      </c>
      <c r="I3" s="134"/>
      <c r="J3" s="135">
        <f>E3/H3</f>
        <v>11.28103310956878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0.14648333333333333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1251.06</v>
      </c>
      <c r="F7" s="112"/>
      <c r="G7" s="112"/>
      <c r="H7" s="112"/>
      <c r="I7" s="112"/>
      <c r="J7" s="112">
        <f>E7/H3</f>
        <v>7.1171919444760494</v>
      </c>
      <c r="K7" s="112"/>
      <c r="L7" s="112"/>
      <c r="M7" s="130">
        <f>E7/E3</f>
        <v>0.63089895006505359</v>
      </c>
      <c r="N7" s="130"/>
      <c r="O7" s="130"/>
      <c r="P7" s="112">
        <f>E11+K11+Q11+E15+K15+Q15+E19+H19+K19</f>
        <v>2023.1152000000002</v>
      </c>
      <c r="Q7" s="112"/>
      <c r="R7" s="112"/>
      <c r="S7" s="112">
        <f>P7/H3</f>
        <v>11.509359426555923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1200</v>
      </c>
      <c r="L11" s="90"/>
      <c r="M11" s="38"/>
      <c r="N11" s="88">
        <f>K11/H3</f>
        <v>6.8267152121970645</v>
      </c>
      <c r="O11" s="90"/>
      <c r="P11" s="38"/>
      <c r="Q11" s="88">
        <f>'Resumo Detalhado'!D2</f>
        <v>51.06</v>
      </c>
      <c r="R11" s="90"/>
      <c r="S11" s="38"/>
      <c r="T11" s="88">
        <f>Q11/H3</f>
        <v>0.29047673227898513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237.96</v>
      </c>
      <c r="F15" s="119"/>
      <c r="G15" s="119"/>
      <c r="H15" s="119"/>
      <c r="I15" s="132"/>
      <c r="J15" s="38"/>
      <c r="K15" s="113">
        <f>'Resumo Detalhado'!K2+'Resumo Detalhado'!L2</f>
        <v>317.27680000000004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55.39</v>
      </c>
      <c r="F19" s="120"/>
      <c r="G19" s="38"/>
      <c r="H19" s="122">
        <f>'Resumo Detalhado'!J2</f>
        <v>2.79</v>
      </c>
      <c r="I19" s="123"/>
      <c r="J19" s="38"/>
      <c r="K19" s="122">
        <f>'Resumo Detalhado'!L2</f>
        <v>158.63840000000002</v>
      </c>
      <c r="L19" s="123"/>
      <c r="M19" s="38"/>
      <c r="N19" s="121" t="s">
        <v>631</v>
      </c>
      <c r="O19" s="119"/>
      <c r="P19" s="119"/>
      <c r="Q19" s="119"/>
      <c r="R19" s="120"/>
      <c r="S19" s="121">
        <v>1200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1321.8016000000002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0.66657333911587624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8867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632</v>
      </c>
      <c r="F1" s="29"/>
    </row>
    <row r="2" spans="1:18" x14ac:dyDescent="0.3">
      <c r="B2" s="29">
        <f>SUM(B6:B5000)</f>
        <v>1982.98</v>
      </c>
      <c r="C2" s="29">
        <f>SUM(C6:C5000)</f>
        <v>175.78</v>
      </c>
      <c r="D2" s="29">
        <f>SUM(D6:D5000)</f>
        <v>51.06</v>
      </c>
      <c r="E2" s="29">
        <f>SUM(E6:E5000)</f>
        <v>155.34</v>
      </c>
      <c r="F2" s="29">
        <f>SUM(F6:F5000)</f>
        <v>0</v>
      </c>
      <c r="G2" s="29"/>
      <c r="H2" s="29">
        <f t="shared" ref="H2:P2" si="0">SUM(H6:H5000)</f>
        <v>237.96</v>
      </c>
      <c r="I2" s="29">
        <f t="shared" si="0"/>
        <v>55.39</v>
      </c>
      <c r="J2" s="29">
        <f t="shared" si="0"/>
        <v>2.79</v>
      </c>
      <c r="K2" s="29">
        <f t="shared" si="0"/>
        <v>158.63840000000002</v>
      </c>
      <c r="L2" s="29">
        <f t="shared" si="0"/>
        <v>158.63840000000002</v>
      </c>
      <c r="M2" s="29">
        <f t="shared" si="0"/>
        <v>0</v>
      </c>
      <c r="N2" s="29">
        <f t="shared" si="0"/>
        <v>1321.8016000000002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302482</v>
      </c>
      <c r="B6" s="140">
        <v>1835.43</v>
      </c>
      <c r="C6" s="141">
        <v>151</v>
      </c>
      <c r="D6" s="140">
        <v>46.85</v>
      </c>
      <c r="E6" s="140">
        <v>103.4</v>
      </c>
      <c r="F6" s="140">
        <v>0</v>
      </c>
      <c r="G6" s="142">
        <v>8.1860926322442143E-2</v>
      </c>
      <c r="H6" s="140">
        <v>220.25</v>
      </c>
      <c r="I6" s="140">
        <v>54</v>
      </c>
      <c r="J6" s="140">
        <v>2.79</v>
      </c>
      <c r="K6" s="140">
        <v>146.83440000000002</v>
      </c>
      <c r="L6" s="140">
        <v>146.83440000000002</v>
      </c>
      <c r="M6" s="140">
        <v>0</v>
      </c>
      <c r="N6" s="140">
        <v>1261.3056000000001</v>
      </c>
      <c r="O6" s="142">
        <v>0.68719896699955874</v>
      </c>
      <c r="Q6"/>
    </row>
    <row r="7" spans="1:18" s="31" customFormat="1" x14ac:dyDescent="0.3">
      <c r="A7" s="139" t="s">
        <v>627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304147</v>
      </c>
      <c r="B8" s="140">
        <v>147.55000000000001</v>
      </c>
      <c r="C8" s="141">
        <v>24.78</v>
      </c>
      <c r="D8" s="140">
        <v>4.21</v>
      </c>
      <c r="E8" s="140">
        <v>51.94</v>
      </c>
      <c r="F8" s="140">
        <v>0</v>
      </c>
      <c r="G8" s="142">
        <v>0.38054896645205011</v>
      </c>
      <c r="H8" s="140">
        <v>17.71</v>
      </c>
      <c r="I8" s="140">
        <v>1.39</v>
      </c>
      <c r="J8" s="140">
        <v>0</v>
      </c>
      <c r="K8" s="140">
        <v>11.804</v>
      </c>
      <c r="L8" s="140">
        <v>11.804</v>
      </c>
      <c r="M8" s="140">
        <v>0</v>
      </c>
      <c r="N8" s="140">
        <v>60.495999999999995</v>
      </c>
      <c r="O8" s="142">
        <v>0.41000338868180269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632</v>
      </c>
    </row>
    <row r="2" spans="1:4" x14ac:dyDescent="0.3">
      <c r="B2" s="29">
        <f>SUM(B6:B5000)</f>
        <v>147.55000000000001</v>
      </c>
      <c r="C2" s="29">
        <f>SUM(C6:C5000)</f>
        <v>60.495999999999995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618</v>
      </c>
      <c r="B5" s="10">
        <v>1835.43</v>
      </c>
      <c r="C5" s="10">
        <v>1261.3056000000001</v>
      </c>
    </row>
    <row r="6" spans="1:4" x14ac:dyDescent="0.3">
      <c r="A6" s="139" t="s">
        <v>627</v>
      </c>
      <c r="B6" s="140">
        <v>147.55000000000001</v>
      </c>
      <c r="C6" s="140">
        <v>60.495999999999995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631</v>
      </c>
      <c r="D395" s="87">
        <v>1200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2026-10-08T14:31:23Z</dcterms:modified>
  <cp:category/>
  <cp:contentStatus/>
</cp:coreProperties>
</file>