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EA4915DF-4227-4D72-B0C4-428D2E1C0D8A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<sst xmlns="http://schemas.openxmlformats.org/spreadsheetml/2006/main" count="915" uniqueCount="633">
  <si>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</si>
  <si>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</si>
  <si>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</si>
  <si>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</si>
  <si>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</si>
  <si>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</si>
  <si>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</si>
  <si>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</si>
  <si>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</si>
  <si>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</si>
  <si>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</si>
  <si>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</si>
  <si>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</si>
  <si>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</si>
  <si>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</si>
  <si>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</si>
  <si>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</si>
  <si>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</si>
  <si>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</si>
  <si>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</si>
  <si>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</si>
  <si>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</si>
  <si>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</si>
  <si>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</si>
  <si>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</si>
  <si>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</si>
  <si>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</si>
  <si>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</si>
  <si>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</si>
  <si>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</si>
  <si>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</si>
  <si>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</si>
  <si>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</si>
  <si>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</si>
  <si>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</si>
  <si>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</si>
  <si>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</si>
  <si>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</si>
  <si>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</si>
  <si>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</si>
  <si>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</si>
  <si>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</si>
  <si>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</si>
  <si>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</si>
  <si>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</si>
  <si>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</si>
  <si>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</si>
  <si>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</si>
  <si>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</si>
  <si>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</si>
  <si>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</si>
  <si>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</si>
  <si>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</si>
  <si>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</si>
  <si>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</si>
  <si>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</si>
  <si>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</si>
  <si>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</si>
  <si>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</si>
  <si>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</si>
  <si>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</si>
  <si>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</si>
  <si>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</si>
  <si>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</si>
  <si>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</si>
  <si>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</si>
  <si>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</si>
  <si>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</si>
  <si>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</si>
  <si>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</si>
  <si>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</si>
  <si>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</si>
  <si>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</si>
  <si>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</si>
  <si>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</si>
  <si>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</si>
  <si>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</si>
  <si>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</si>
  <si>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</si>
  <si>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</si>
  <si>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</si>
  <si>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</si>
  <si>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</si>
  <si>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</si>
  <si>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</si>
  <si>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</si>
  <si>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</si>
  <si>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</si>
  <si>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</si>
  <si>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</si>
  <si>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</si>
  <si>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</si>
  <si>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</si>
  <si>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</si>
  <si>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</si>
  <si>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</si>
  <si>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</si>
  <si>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</si>
  <si>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</si>
  <si>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</si>
  <si>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</si>
  <si>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</si>
  <si>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</si>
  <si>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</si>
  <si>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</si>
  <si>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</si>
  <si>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</si>
  <si>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</si>
  <si>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</si>
  <si>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</si>
  <si>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</si>
  <si>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</si>
  <si>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</si>
  <si>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</si>
  <si>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</si>
  <si>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</si>
  <si>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</si>
  <si>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</si>
  <si>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</si>
  <si>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</si>
  <si>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</si>
  <si>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</si>
  <si>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</si>
  <si>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</si>
  <si>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</si>
  <si>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</si>
  <si>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</si>
  <si>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</si>
  <si>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</si>
  <si>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</si>
  <si>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</si>
  <si>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</si>
  <si>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</si>
  <si>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</si>
  <si>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</si>
  <si>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</si>
  <si>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</si>
  <si>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</si>
  <si>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</si>
  <si>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</si>
  <si>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</si>
  <si>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</si>
  <si>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</si>
  <si>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</si>
  <si>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</si>
  <si>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</si>
  <si>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</si>
  <si>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</si>
  <si>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</si>
  <si>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</si>
  <si>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</si>
  <si>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</si>
  <si>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</si>
  <si>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</si>
  <si>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</si>
  <si>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</si>
  <si>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</si>
  <si>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</si>
  <si>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</si>
  <si>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</si>
  <si>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</si>
  <si>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</si>
  <si>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</si>
  <si>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</si>
  <si>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</si>
  <si>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</si>
  <si>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</si>
  <si>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</si>
  <si>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</si>
  <si>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</si>
  <si>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</si>
  <si>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</si>
  <si>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</si>
  <si>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</si>
  <si>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</si>
  <si>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</si>
  <si>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</si>
  <si>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</si>
  <si>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</si>
  <si>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</si>
  <si>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</si>
  <si>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</si>
  <si>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</si>
  <si>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</si>
  <si>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</si>
  <si>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</si>
  <si>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</si>
  <si>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</si>
  <si>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</si>
  <si>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</si>
  <si>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</si>
  <si>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</si>
  <si>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</si>
  <si>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</si>
  <si>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</si>
  <si>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</si>
  <si>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</si>
  <si>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</si>
  <si>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</si>
  <si>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</si>
  <si>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</si>
  <si>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</si>
  <si>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</si>
  <si>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</si>
  <si>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</si>
  <si>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</si>
  <si>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</si>
  <si>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</si>
  <si>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</si>
  <si>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</si>
  <si>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</si>
  <si>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</si>
  <si>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</si>
  <si>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</si>
  <si>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</si>
  <si>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</si>
  <si>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</si>
  <si>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</si>
  <si>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</si>
  <si>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</si>
  <si>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</si>
  <si>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</si>
  <si>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</si>
  <si>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</si>
  <si>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</si>
  <si>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</si>
  <si>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</si>
  <si>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</si>
  <si>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</si>
  <si>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</si>
  <si>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</si>
  <si>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</si>
  <si>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</si>
  <si>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</si>
  <si>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</si>
  <si>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</si>
  <si>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</si>
  <si>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</si>
  <si>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</si>
  <si>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</si>
  <si>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</si>
  <si>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</si>
  <si>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</si>
  <si>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</si>
  <si>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</si>
  <si>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</si>
  <si>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</si>
  <si>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</si>
  <si>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</si>
  <si>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</si>
  <si>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</si>
  <si>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</si>
  <si>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</si>
  <si>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</si>
  <si>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</si>
  <si>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</si>
  <si>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</si>
  <si>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</si>
  <si>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</si>
  <si>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</si>
  <si>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</si>
  <si>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</si>
  <si>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</si>
  <si>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</si>
  <si>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</si>
  <si>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</si>
  <si>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</si>
  <si>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</si>
  <si>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</si>
  <si>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</si>
  <si>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</si>
  <si>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</si>
  <si>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</si>
  <si>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</si>
  <si>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</si>
  <si>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</si>
  <si>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</si>
  <si>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</si>
  <si>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</si>
  <si>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</si>
  <si>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</si>
  <si>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</si>
  <si>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</si>
  <si>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</si>
  <si>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</si>
  <si>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</si>
  <si>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</si>
  <si>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</si>
  <si>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</si>
  <si>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</si>
  <si>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</si>
  <si>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</si>
  <si>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</si>
  <si>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</si>
  <si>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</si>
  <si>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</si>
  <si>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</si>
  <si>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</si>
  <si>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</si>
  <si>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</si>
  <si>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</si>
  <si>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</si>
  <si>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</si>
  <si>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</si>
  <si>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</si>
  <si>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</si>
  <si>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</si>
  <si>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</si>
  <si>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</si>
  <si>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</si>
  <si>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</si>
  <si>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</si>
  <si>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</si>
  <si>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</si>
  <si>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</si>
  <si>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</si>
  <si>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</si>
  <si>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</si>
  <si>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</si>
  <si>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</si>
  <si>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</si>
  <si>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</si>
  <si>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</si>
  <si>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</si>
  <si>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</si>
  <si>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</si>
  <si>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</si>
  <si>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</si>
  <si>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</si>
  <si>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</si>
  <si>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</si>
  <si>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</si>
  <si>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</si>
  <si>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</si>
  <si>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</si>
  <si>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</si>
  <si>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</si>
  <si>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</si>
  <si>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</si>
  <si>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</si>
  <si>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</si>
  <si>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</si>
  <si>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</si>
  <si>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</si>
  <si>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</si>
  <si>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</si>
  <si>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</si>
  <si>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</si>
  <si>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</si>
  <si>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</si>
  <si>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</si>
  <si>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</si>
  <si>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</si>
  <si>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</si>
  <si>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</si>
  <si>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</si>
  <si>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</si>
  <si>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</si>
  <si>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</si>
  <si>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</si>
  <si>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</si>
  <si>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</si>
  <si>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</si>
  <si>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</si>
  <si>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</si>
  <si>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</si>
  <si>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</si>
  <si>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</si>
  <si>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</si>
  <si>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</si>
  <si>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</si>
  <si>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</si>
  <si>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</si>
  <si>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</si>
  <si>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</si>
  <si>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</si>
  <si>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</si>
  <si>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</si>
  <si>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</si>
  <si>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</si>
  <si>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</si>
  <si>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</si>
  <si>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</si>
  <si>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</si>
  <si>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</si>
  <si>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</si>
  <si>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</si>
  <si>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</si>
  <si>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</si>
  <si>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</si>
  <si>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</si>
  <si>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</si>
  <si>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</si>
  <si>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</si>
  <si>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</si>
  <si>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</si>
  <si>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</si>
  <si>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</si>
  <si>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</si>
  <si>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</si>
  <si>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</si>
  <si>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</si>
  <si>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</si>
  <si>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</si>
  <si>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</si>
  <si>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</si>
  <si>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</si>
  <si>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</si>
  <si>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</si>
  <si>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</si>
  <si>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</si>
  <si>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</si>
  <si>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</si>
  <si>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</si>
  <si>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</si>
  <si>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</si>
  <si>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</si>
  <si>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</si>
  <si>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</si>
  <si>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</si>
  <si>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</si>
  <si>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</si>
  <si>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</si>
  <si>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</si>
  <si>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</si>
  <si>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</si>
  <si>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</si>
  <si>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</si>
  <si>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</si>
  <si>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</si>
  <si>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</si>
  <si>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</si>
  <si>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</si>
  <si>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</si>
  <si>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</si>
  <si>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</si>
  <si>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</si>
  <si>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</si>
  <si>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</si>
  <si>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</si>
  <si>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</si>
  <si>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</si>
  <si>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</si>
  <si>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</si>
  <si>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</si>
  <si>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</si>
  <si>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</si>
  <si>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</si>
  <si>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</si>
  <si>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</si>
  <si>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</si>
  <si>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</si>
  <si>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</si>
  <si>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</si>
  <si>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</si>
  <si>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</si>
  <si>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</si>
  <si>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</si>
  <si>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</si>
  <si>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</si>
  <si>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</si>
  <si>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</si>
  <si>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</si>
  <si>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</si>
  <si>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</si>
  <si>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</si>
  <si>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</si>
  <si>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</si>
  <si>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</si>
  <si>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</si>
  <si>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</si>
  <si>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</si>
  <si>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</si>
  <si>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</si>
  <si>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</si>
  <si>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</si>
  <si>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</si>
  <si>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</si>
  <si>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</si>
  <si>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</si>
  <si>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</si>
  <si>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</si>
  <si>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</si>
  <si>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</si>
  <si>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</si>
  <si>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</si>
  <si>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</si>
  <si>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</si>
  <si>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</si>
  <si>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</si>
  <si>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</si>
  <si>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</si>
  <si>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</si>
  <si>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</si>
  <si>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</si>
  <si>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</si>
  <si>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</si>
  <si>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</si>
  <si>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</si>
  <si>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</si>
  <si>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</si>
  <si>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</si>
  <si>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</si>
  <si>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</si>
  <si>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</si>
  <si>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</si>
  <si>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</si>
  <si>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</si>
  <si>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</si>
  <si>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</si>
  <si>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</si>
  <si>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</si>
  <si>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</si>
  <si>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</si>
  <si>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</si>
  <si>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</si>
  <si>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</si>
  <si>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</si>
  <si>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</si>
  <si>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</si>
  <si>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</si>
  <si>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</si>
  <si>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</si>
  <si>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</si>
  <si>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</si>
  <si>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</si>
  <si>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</si>
  <si>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</si>
  <si>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</si>
  <si>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</si>
  <si>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</si>
  <si>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</si>
  <si>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</si>
  <si>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</si>
  <si>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</si>
  <si>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</si>
  <si>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</si>
  <si>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</si>
  <si>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</si>
  <si>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</si>
  <si>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</si>
  <si>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</si>
  <si>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</si>
  <si>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</si>
  <si>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</si>
  <si>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</si>
  <si>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</si>
  <si>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</si>
  <si>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</si>
  <si>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</si>
  <si>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</si>
  <si>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</si>
  <si>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</si>
  <si>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</si>
  <si>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</si>
  <si>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</si>
  <si>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</si>
  <si>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</si>
  <si>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</si>
  <si>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</si>
  <si>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</si>
  <si>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</si>
  <si>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</si>
  <si>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</si>
  <si>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</si>
  <si>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</si>
  <si>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</si>
  <si>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</si>
  <si>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</si>
  <si>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</si>
  <si>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</si>
  <si>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</si>
  <si>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</si>
  <si>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</si>
  <si>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</si>
  <si>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</si>
  <si>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</si>
  <si>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</si>
  <si>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</si>
  <si>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</si>
  <si>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</si>
  <si>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</si>
  <si>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</si>
  <si>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</si>
  <si>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</si>
  <si>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</si>
  <si>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</si>
  <si>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</si>
  <si>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</si>
  <si>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</si>
  <si>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</si>
  <si>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</si>
  <si>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</si>
  <si>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</si>
  <si>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</si>
  <si>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</si>
  <si>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</si>
  <si>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</si>
  <si>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</si>
  <si>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</si>
  <si>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</si>
  <si>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</si>
  <si>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</si>
  <si>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</si>
  <si>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</si>
  <si>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</si>
  <si>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</si>
  <si>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</si>
  <si>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</si>
  <si>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</si>
  <si>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</si>
  <si>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</si>
  <si>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</si>
  <si>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</si>
  <si>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</si>
  <si>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</si>
  <si>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</si>
  <si>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203768-1</t>
  </si>
  <si>
    <t>PLOT SERVICOS C</t>
  </si>
  <si>
    <t>CAIO LUCIANO MATIAS</t>
  </si>
  <si>
    <t>ECONOMICO_250</t>
  </si>
  <si>
    <t>CTE NORMAL</t>
  </si>
  <si>
    <t>AGUDOS - SP</t>
  </si>
  <si>
    <t>JAIR BATISTA</t>
  </si>
  <si>
    <t>ARNALDO BAURU EXPRESS</t>
  </si>
  <si>
    <t>MARCIA CRISTINA BARBOSA B</t>
  </si>
  <si>
    <t>204342-1</t>
  </si>
  <si>
    <t>SKO COMERCIO, I</t>
  </si>
  <si>
    <t>URIEL CORREA</t>
  </si>
  <si>
    <t>JUNDIAI - SP</t>
  </si>
  <si>
    <t>PORTOEX SP</t>
  </si>
  <si>
    <t>São Paulo-Sp X Agudos-Spvan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</si>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</sst>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[Analise_TAKETOMI_05102026.xlsx]Resumo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PLOT SERVICOS C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1835.43</c:v>
                </c:pt>
                <c:pt idx="1">
                  <c:v>147.55000000000001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PLOT SERVICOS C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1261.3056000000001</c:v>
                </c:pt>
                <c:pt idx="1">
                  <c:v>60.495999999999995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[Analise_TAKETOMI_05102026.xlsx]Resumo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PLOT SERVICOS C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1835.43</c:v>
                </c:pt>
                <c:pt idx="1">
                  <c:v>147.55000000000001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PLOT SERVICOS C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1261.3056000000001</c:v>
                </c:pt>
                <c:pt idx="1">
                  <c:v>60.495999999999995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3.414931944448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4147" count="8000">
        <n v="302482"/>
        <n v="304147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4T00:00:00" maxDate="2026-10-06T00:00:00"/>
    </cacheField>
    <cacheField name="DATA" numFmtId="14">
      <sharedItems containsNonDate="0" containsDate="1" containsString="0" containsBlank="1" minDate="2026-09-24T00:00:00" maxDate="2026-10-06T00:00:00"/>
    </cacheField>
    <cacheField name="FAT" numFmtId="0">
      <sharedItems containsString="0" containsBlank="1" containsNumber="1" containsInteger="1" minValue="66253" maxValue="66253"/>
    </cacheField>
    <cacheField name="CT-E" numFmtId="0">
      <sharedItems containsBlank="1"/>
    </cacheField>
    <cacheField name="CLIENTE TOMADOR" numFmtId="0">
      <sharedItems containsBlank="1" count="855">
        <s v="PLOT SERVICOS C"/>
        <s v="SKO COMERCIO, 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785.34" maxValue="108000"/>
    </cacheField>
    <cacheField name="SERVICO" numFmtId="0">
      <sharedItems containsBlank="1" count="27"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47.55000000000001" maxValue="1835.43"/>
    </cacheField>
    <cacheField name="VOLUMES" numFmtId="0">
      <sharedItems containsString="0" containsBlank="1" containsNumber="1" containsInteger="1" minValue="1" maxValue="1"/>
    </cacheField>
    <cacheField name="PESO" numFmtId="0">
      <sharedItems containsString="0" containsBlank="1" containsNumber="1" minValue="24.78" maxValue="151"/>
    </cacheField>
    <cacheField name="RESP. COLETA" numFmtId="0">
      <sharedItems containsBlank="1"/>
    </cacheField>
    <cacheField name="CUSTO COLETA" numFmtId="0">
      <sharedItems containsString="0" containsBlank="1" containsNumber="1" minValue="4.21" maxValue="46.85"/>
    </cacheField>
    <cacheField name="RESP. ENTREGA" numFmtId="0">
      <sharedItems containsBlank="1"/>
    </cacheField>
    <cacheField name="CUSTO ENTREGA" numFmtId="0">
      <sharedItems containsString="0" containsBlank="1" containsNumber="1" minValue="51.94" maxValue="103.4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7.71" maxValue="220.2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39" maxValue="54"/>
    </cacheField>
    <cacheField name="OUTROS" numFmtId="0">
      <sharedItems containsString="0" containsBlank="1" containsNumber="1" minValue="0" maxValue="2.79"/>
    </cacheField>
    <cacheField name="C.TOTAL" numFmtId="0">
      <sharedItems containsString="0" containsBlank="1" containsNumber="1" minValue="244.42" maxValue="1501.76"/>
    </cacheField>
    <cacheField name="RECEITA" numFmtId="0">
      <sharedItems containsString="0" containsBlank="1" containsNumber="1" minValue="-96.87" maxValue="333.67"/>
    </cacheField>
    <cacheField name="IMPOSTO" numFmtId="0">
      <sharedItems containsString="0" containsBlank="1" containsNumber="1" minValue="38.36" maxValue="477.21"/>
    </cacheField>
    <cacheField name="RESULTADO" numFmtId="0">
      <sharedItems containsString="0" containsBlank="1" containsNumber="1" minValue="-192" maxValue="-135.22999999999999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192" maxValue="-135.22999999999999"/>
    </cacheField>
    <cacheField name="MARGEM" numFmtId="10">
      <sharedItems containsString="0" containsBlank="1" containsNumber="1" minValue="-0.91650000000000009" maxValue="-0.1046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24T00:00:00"/>
    <d v="2026-09-24T00:00:00"/>
    <n v="66253"/>
    <s v="203768-1"/>
    <x v="0"/>
    <s v="CAIO LUCIANO MATIAS"/>
    <n v="108000"/>
    <x v="0"/>
    <s v="CTE NORMAL"/>
    <s v="AGUDOS - SP"/>
    <n v="1835.43"/>
    <n v="1"/>
    <n v="151"/>
    <s v="JAIR BATISTA"/>
    <n v="46.85"/>
    <s v="ARNALDO BAURU EXPRESS"/>
    <n v="103.4"/>
    <s v="MARCIA CRISTINA BARBOSA B"/>
    <n v="0"/>
    <n v="220.25"/>
    <n v="0"/>
    <n v="0"/>
    <n v="54"/>
    <n v="2.79"/>
    <n v="1501.76"/>
    <n v="333.67"/>
    <n v="477.21"/>
    <n v="-192"/>
    <n v="0"/>
    <n v="-192"/>
    <n v="-0.10460000000000001"/>
    <m/>
  </r>
  <r>
    <x v="1"/>
    <s v="MATRIZ"/>
    <d v="2026-10-05T00:00:00"/>
    <d v="2026-10-05T00:00:00"/>
    <m/>
    <s v="204342-1"/>
    <x v="1"/>
    <s v="URIEL CORREA"/>
    <n v="2785.34"/>
    <x v="0"/>
    <s v="CTE NORMAL"/>
    <s v="JUNDIAI - SP"/>
    <n v="147.55000000000001"/>
    <n v="1"/>
    <n v="24.78"/>
    <s v="JAIR BATISTA"/>
    <n v="4.21"/>
    <s v="PORTOEX SP"/>
    <n v="51.94"/>
    <s v="MARCIA CRISTINA BARBOSA B"/>
    <n v="0"/>
    <n v="17.71"/>
    <n v="0"/>
    <n v="0"/>
    <n v="1.39"/>
    <n v="0"/>
    <n v="244.42"/>
    <n v="-96.87"/>
    <n v="38.36"/>
    <n v="-135.22999999999999"/>
    <n v="0"/>
    <n v="-135.22999999999999"/>
    <n v="-0.91650000000000009"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2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5"/>
        <item m="1" x="581"/>
        <item m="1" x="852"/>
        <item m="1" x="21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8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5"/>
        <item m="1" x="770"/>
        <item m="1" x="15"/>
        <item m="1" x="739"/>
        <item m="1" x="392"/>
        <item m="1" x="275"/>
        <item m="1" x="65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9"/>
        <item m="1" x="631"/>
        <item m="1" x="530"/>
        <item m="1" x="294"/>
        <item m="1" x="303"/>
        <item m="1" x="173"/>
        <item m="1" x="100"/>
        <item sd="0" m="1" x="70"/>
        <item m="1" x="578"/>
        <item sd="0" m="1" x="798"/>
        <item m="1" x="33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8"/>
        <item m="1" x="582"/>
        <item m="1" x="19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10"/>
        <item m="1" x="42"/>
        <item m="1" x="17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4"/>
        <item m="1" x="635"/>
        <item m="1" x="457"/>
        <item m="1" x="790"/>
        <item m="1" x="703"/>
        <item m="1" x="233"/>
        <item m="1" x="597"/>
        <item m="1" x="43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2"/>
        <item m="1" x="16"/>
        <item m="1" x="231"/>
        <item m="1" x="240"/>
        <item m="1" x="6"/>
        <item m="1" x="387"/>
        <item m="1" x="369"/>
        <item m="1" x="615"/>
        <item m="1" x="57"/>
        <item m="1" x="707"/>
        <item m="1" x="24"/>
        <item m="1" x="37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8"/>
        <item m="1" x="382"/>
        <item m="1" x="589"/>
        <item m="1" x="747"/>
        <item sd="0" m="1" x="268"/>
        <item m="1" x="18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2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4"/>
        <item m="1" x="301"/>
        <item m="1" x="548"/>
        <item m="1" x="60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5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4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5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9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2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m="1" x="83"/>
        <item m="1" x="325"/>
        <item m="1" x="35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4"/>
        <item sd="0" m="1" x="669"/>
        <item m="1" x="93"/>
        <item m="1" x="439"/>
        <item sd="0" m="1" x="350"/>
        <item m="1" x="784"/>
        <item m="1" x="498"/>
        <item m="1" x="61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9"/>
        <item m="1" x="782"/>
        <item m="1" x="252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20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1"/>
        <item m="1" x="141"/>
        <item m="1" x="651"/>
        <item m="1" x="604"/>
        <item m="1" x="440"/>
        <item m="1" x="23"/>
        <item m="1" x="594"/>
        <item m="1" x="434"/>
        <item m="1" x="67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2"/>
        <item m="1" x="77"/>
        <item m="1" x="528"/>
        <item m="1" x="566"/>
        <item m="1" x="687"/>
        <item m="1" x="279"/>
        <item m="1" x="524"/>
        <item m="1" x="525"/>
        <item x="0"/>
        <item m="1" x="592"/>
        <item m="1" x="801"/>
        <item m="1" x="583"/>
        <item m="1" x="749"/>
        <item m="1" x="722"/>
        <item m="1" x="532"/>
        <item sd="0" m="1" x="46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6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4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x="1"/>
        <item m="1" x="51"/>
        <item m="1" x="851"/>
        <item m="1" x="30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8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8"/>
        <item m="1" x="277"/>
        <item m="1" x="507"/>
        <item sd="0" m="1" x="499"/>
        <item m="1" x="68"/>
        <item m="1" x="679"/>
        <item m="1" x="80"/>
        <item m="1" x="634"/>
        <item m="1" x="66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3"/>
        <item m="1" x="423"/>
        <item sd="0" m="1" x="27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31"/>
        <item m="1" x="104"/>
        <item m="1" x="533"/>
        <item sd="0" m="1" x="296"/>
        <item sd="0" m="1" x="396"/>
        <item sd="0" m="1" x="228"/>
        <item sd="0" m="1" x="8"/>
        <item m="1" x="472"/>
        <item sd="0" m="1" x="824"/>
        <item m="1" x="36"/>
        <item m="1" x="310"/>
        <item m="1" x="825"/>
        <item m="1" x="562"/>
        <item m="1" x="62"/>
        <item m="1" x="568"/>
        <item m="1" x="430"/>
        <item m="1" x="425"/>
        <item m="1" x="175"/>
        <item m="1" x="365"/>
        <item m="1" x="758"/>
        <item m="1" x="600"/>
        <item m="1" x="13"/>
        <item m="1" x="91"/>
        <item m="1" x="437"/>
        <item m="1" x="433"/>
        <item m="1" x="120"/>
        <item m="1" x="630"/>
        <item m="1" x="200"/>
        <item m="1" x="155"/>
        <item m="1" x="55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3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6"/>
        <item m="1" x="128"/>
        <item m="1" x="4"/>
        <item m="1" x="49"/>
        <item m="1" x="89"/>
        <item sd="0" m="1" x="201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3"/>
        <item m="1" x="10"/>
        <item m="1" x="13"/>
        <item m="1" x="25"/>
        <item m="1" x="18"/>
        <item x="1"/>
        <item m="1" x="7"/>
        <item m="1" x="2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603"/>
    </i>
    <i r="1">
      <x v="7998"/>
    </i>
    <i>
      <x v="711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2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5"/>
        <item m="1" x="581"/>
        <item m="1" x="852"/>
        <item m="1" x="21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8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5"/>
        <item m="1" x="770"/>
        <item m="1" x="15"/>
        <item m="1" x="739"/>
        <item m="1" x="392"/>
        <item m="1" x="275"/>
        <item m="1" x="65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9"/>
        <item m="1" x="631"/>
        <item m="1" x="530"/>
        <item m="1" x="294"/>
        <item m="1" x="303"/>
        <item m="1" x="173"/>
        <item m="1" x="100"/>
        <item sd="0" m="1" x="70"/>
        <item m="1" x="578"/>
        <item sd="0" m="1" x="798"/>
        <item m="1" x="33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8"/>
        <item m="1" x="582"/>
        <item m="1" x="19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10"/>
        <item m="1" x="42"/>
        <item m="1" x="17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4"/>
        <item m="1" x="635"/>
        <item m="1" x="457"/>
        <item m="1" x="790"/>
        <item sd="0" m="1" x="703"/>
        <item m="1" x="233"/>
        <item m="1" x="597"/>
        <item m="1" x="43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2"/>
        <item m="1" x="16"/>
        <item m="1" x="231"/>
        <item m="1" x="240"/>
        <item m="1" x="6"/>
        <item m="1" x="387"/>
        <item m="1" x="369"/>
        <item m="1" x="615"/>
        <item m="1" x="57"/>
        <item m="1" x="707"/>
        <item m="1" x="24"/>
        <item m="1" x="37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8"/>
        <item m="1" x="382"/>
        <item m="1" x="589"/>
        <item m="1" x="747"/>
        <item sd="0" m="1" x="268"/>
        <item m="1" x="18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2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4"/>
        <item m="1" x="301"/>
        <item m="1" x="548"/>
        <item m="1" x="60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5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4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5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9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2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m="1" x="83"/>
        <item m="1" x="325"/>
        <item m="1" x="35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4"/>
        <item sd="0" m="1" x="669"/>
        <item m="1" x="93"/>
        <item m="1" x="439"/>
        <item sd="0" m="1" x="350"/>
        <item m="1" x="784"/>
        <item m="1" x="498"/>
        <item m="1" x="61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9"/>
        <item m="1" x="782"/>
        <item m="1" x="252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20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1"/>
        <item m="1" x="141"/>
        <item m="1" x="651"/>
        <item m="1" x="604"/>
        <item m="1" x="440"/>
        <item m="1" x="23"/>
        <item m="1" x="594"/>
        <item m="1" x="434"/>
        <item m="1" x="67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2"/>
        <item m="1" x="77"/>
        <item m="1" x="528"/>
        <item m="1" x="566"/>
        <item m="1" x="687"/>
        <item m="1" x="279"/>
        <item m="1" x="524"/>
        <item m="1" x="525"/>
        <item x="0"/>
        <item m="1" x="592"/>
        <item m="1" x="801"/>
        <item m="1" x="583"/>
        <item m="1" x="749"/>
        <item m="1" x="722"/>
        <item m="1" x="532"/>
        <item sd="0" m="1" x="46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6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4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x="1"/>
        <item m="1" x="51"/>
        <item m="1" x="851"/>
        <item m="1" x="30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8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8"/>
        <item m="1" x="277"/>
        <item m="1" x="507"/>
        <item sd="0" m="1" x="499"/>
        <item m="1" x="68"/>
        <item m="1" x="679"/>
        <item m="1" x="80"/>
        <item m="1" x="634"/>
        <item m="1" x="66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3"/>
        <item m="1" x="423"/>
        <item sd="0" m="1" x="27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31"/>
        <item m="1" x="104"/>
        <item m="1" x="533"/>
        <item sd="0" m="1" x="296"/>
        <item sd="0" m="1" x="396"/>
        <item sd="0" m="1" x="228"/>
        <item sd="0" m="1" x="8"/>
        <item m="1" x="472"/>
        <item sd="0" m="1" x="824"/>
        <item m="1" x="36"/>
        <item m="1" x="310"/>
        <item m="1" x="825"/>
        <item m="1" x="562"/>
        <item m="1" x="62"/>
        <item m="1" x="568"/>
        <item m="1" x="430"/>
        <item m="1" x="425"/>
        <item m="1" x="175"/>
        <item m="1" x="365"/>
        <item m="1" x="758"/>
        <item m="1" x="600"/>
        <item m="1" x="13"/>
        <item m="1" x="91"/>
        <item m="1" x="437"/>
        <item m="1" x="433"/>
        <item m="1" x="120"/>
        <item m="1" x="630"/>
        <item m="1" x="200"/>
        <item m="1" x="155"/>
        <item m="1" x="55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3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6"/>
        <item m="1" x="128"/>
        <item m="1" x="4"/>
        <item m="1" x="49"/>
        <item m="1" x="89"/>
        <item sd="0" m="1" x="201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3"/>
        <item m="1" x="10"/>
        <item m="1" x="13"/>
        <item m="1" x="25"/>
        <item m="1" x="18"/>
        <item x="1"/>
        <item m="1" x="7"/>
        <item m="1" x="2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603"/>
    </i>
    <i>
      <x v="71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1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3" s="1" nd="1"/>
        <i x="148" s="1" nd="1"/>
        <i x="186" s="1" nd="1"/>
        <i x="272" s="1" nd="1"/>
        <i x="12" s="1" nd="1"/>
        <i x="761" s="1" nd="1"/>
        <i x="391" s="1" nd="1"/>
        <i x="712" s="1" nd="1"/>
        <i x="295" s="1" nd="1"/>
        <i x="112" s="1" nd="1"/>
        <i x="270" s="1" nd="1"/>
        <i x="590" s="1" nd="1"/>
        <i x="323" s="1" nd="1"/>
        <i x="675" s="1" nd="1"/>
        <i x="501" s="1" nd="1"/>
        <i x="25" s="1" nd="1"/>
        <i x="581" s="1" nd="1"/>
        <i x="852" s="1" nd="1"/>
        <i x="21" s="1" nd="1"/>
        <i x="757" s="1" nd="1"/>
        <i x="111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6" s="1" nd="1"/>
        <i x="47" s="1" nd="1"/>
        <i x="668" s="1" nd="1"/>
        <i x="660" s="1" nd="1"/>
        <i x="468" s="1" nd="1"/>
        <i x="44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0" s="1" nd="1"/>
        <i x="221" s="1" nd="1"/>
        <i x="157" s="1" nd="1"/>
        <i x="229" s="1" nd="1"/>
        <i x="108" s="1" nd="1"/>
        <i x="621" s="1" nd="1"/>
        <i x="140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8" s="1" nd="1"/>
        <i x="355" s="1" nd="1"/>
        <i x="686" s="1" nd="1"/>
        <i x="311" s="1" nd="1"/>
        <i x="135" s="1" nd="1"/>
        <i x="293" s="1" nd="1"/>
        <i x="601" s="1" nd="1"/>
        <i x="205" s="1" nd="1"/>
        <i x="674" s="1" nd="1"/>
        <i x="138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7" s="1" nd="1"/>
        <i x="661" s="1" nd="1"/>
        <i x="371" s="1" nd="1"/>
        <i x="153" s="1" nd="1"/>
        <i x="250" s="1" nd="1"/>
        <i x="628" s="1" nd="1"/>
        <i x="736" s="1" nd="1"/>
        <i x="420" s="1" nd="1"/>
        <i x="79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5" s="1" nd="1"/>
        <i x="770" s="1" nd="1"/>
        <i x="15" s="1" nd="1"/>
        <i x="739" s="1" nd="1"/>
        <i x="392" s="1" nd="1"/>
        <i x="275" s="1" nd="1"/>
        <i x="65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2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19" s="1" nd="1"/>
        <i x="389" s="1" nd="1"/>
        <i x="87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5" s="1" nd="1"/>
        <i x="400" s="1" nd="1"/>
        <i x="113" s="1" nd="1"/>
        <i x="652" s="1" nd="1"/>
        <i x="656" s="1" nd="1"/>
        <i x="795" s="1" nd="1"/>
        <i x="695" s="1" nd="1"/>
        <i x="454" s="1" nd="1"/>
        <i x="380" s="1" nd="1"/>
        <i x="447" s="1" nd="1"/>
        <i x="158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3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59" s="1" nd="1"/>
        <i x="631" s="1" nd="1"/>
        <i x="530" s="1" nd="1"/>
        <i x="294" s="1" nd="1"/>
        <i x="303" s="1" nd="1"/>
        <i x="173" s="1" nd="1"/>
        <i x="100" s="1" nd="1"/>
        <i x="70" s="1" nd="1"/>
        <i x="578" s="1" nd="1"/>
        <i x="798" s="1" nd="1"/>
        <i x="33" s="1" nd="1"/>
        <i x="673" s="1" nd="1"/>
        <i x="286" s="1" nd="1"/>
        <i x="629" s="1" nd="1"/>
        <i x="264" s="1" nd="1"/>
        <i x="114" s="1" nd="1"/>
        <i x="332" s="1" nd="1"/>
        <i x="219" s="1" nd="1"/>
        <i x="509" s="1" nd="1"/>
        <i x="116" s="1" nd="1"/>
        <i x="536" s="1" nd="1"/>
        <i x="82" s="1" nd="1"/>
        <i x="602" s="1" nd="1"/>
        <i x="449" s="1" nd="1"/>
        <i x="348" s="1" nd="1"/>
        <i x="78" s="1" nd="1"/>
        <i x="582" s="1" nd="1"/>
        <i x="19" s="1" nd="1"/>
        <i x="159" s="1" nd="1"/>
        <i x="773" s="1" nd="1"/>
        <i x="579" s="1" nd="1"/>
        <i x="517" s="1" nd="1"/>
        <i x="797" s="1" nd="1"/>
        <i x="164" s="1" nd="1"/>
        <i x="826" s="1" nd="1"/>
        <i x="109" s="1" nd="1"/>
        <i x="421" s="1" nd="1"/>
        <i x="426" s="1" nd="1"/>
        <i x="10" s="1" nd="1"/>
        <i x="42" s="1" nd="1"/>
        <i x="17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1" s="1" nd="1"/>
        <i x="195" s="1" nd="1"/>
        <i x="831" s="1" nd="1"/>
        <i x="764" s="1" nd="1"/>
        <i x="508" s="1" nd="1"/>
        <i x="821" s="1" nd="1"/>
        <i x="340" s="1" nd="1"/>
        <i x="222" s="1" nd="1"/>
        <i x="64" s="1" nd="1"/>
        <i x="635" s="1" nd="1"/>
        <i x="457" s="1" nd="1"/>
        <i x="790" s="1" nd="1"/>
        <i x="703" s="1" nd="1"/>
        <i x="233" s="1" nd="1"/>
        <i x="597" s="1" nd="1"/>
        <i x="43" s="1" nd="1"/>
        <i x="843" s="1" nd="1"/>
        <i x="122" s="1" nd="1"/>
        <i x="266" s="1" nd="1"/>
        <i x="291" s="1" nd="1"/>
        <i x="353" s="1" nd="1"/>
        <i x="97" s="1" nd="1"/>
        <i x="459" s="1" nd="1"/>
        <i x="580" s="1" nd="1"/>
        <i x="352" s="1" nd="1"/>
        <i x="102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1" s="1" nd="1"/>
        <i x="805" s="1" nd="1"/>
        <i x="486" s="1" nd="1"/>
        <i x="442" s="1" nd="1"/>
        <i x="398" s="1" nd="1"/>
        <i x="608" s="1" nd="1"/>
        <i x="152" s="1" nd="1"/>
        <i x="16" s="1" nd="1"/>
        <i x="231" s="1" nd="1"/>
        <i x="240" s="1" nd="1"/>
        <i x="6" s="1" nd="1"/>
        <i x="387" s="1" nd="1"/>
        <i x="369" s="1" nd="1"/>
        <i x="615" s="1" nd="1"/>
        <i x="57" s="1" nd="1"/>
        <i x="707" s="1" nd="1"/>
        <i x="24" s="1" nd="1"/>
        <i x="37" s="1" nd="1"/>
        <i x="9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2" s="1" nd="1"/>
        <i x="666" s="1" nd="1"/>
        <i x="839" s="1" nd="1"/>
        <i x="38" s="1" nd="1"/>
        <i x="382" s="1" nd="1"/>
        <i x="589" s="1" nd="1"/>
        <i x="747" s="1" nd="1"/>
        <i x="268" s="1" nd="1"/>
        <i x="18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7" s="1" nd="1"/>
        <i x="349" s="1" nd="1"/>
        <i x="577" s="1" nd="1"/>
        <i x="160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49" s="1" nd="1"/>
        <i x="759" s="1" nd="1"/>
        <i x="690" s="1" nd="1"/>
        <i x="22" s="1" nd="1"/>
        <i x="727" s="1" nd="1"/>
        <i x="780" s="1" nd="1"/>
        <i x="639" s="1" nd="1"/>
        <i x="328" s="1" nd="1"/>
        <i x="367" s="1" nd="1"/>
        <i x="815" s="1" nd="1"/>
        <i x="776" s="1" nd="1"/>
        <i x="143" s="1" nd="1"/>
        <i x="497" s="1" nd="1"/>
        <i x="466" s="1" nd="1"/>
        <i x="139" s="1" nd="1"/>
        <i x="756" s="1" nd="1"/>
        <i x="147" s="1" nd="1"/>
        <i x="223" s="1" nd="1"/>
        <i x="720" s="1" nd="1"/>
        <i x="555" s="1" nd="1"/>
        <i x="115" s="1" nd="1"/>
        <i x="375" s="1" nd="1"/>
        <i x="718" s="1" nd="1"/>
        <i x="126" s="1" nd="1"/>
        <i x="34" s="1" nd="1"/>
        <i x="301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6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0" s="1" nd="1"/>
        <i x="572" s="1" nd="1"/>
        <i x="156" s="1" nd="1"/>
        <i x="560" s="1" nd="1"/>
        <i x="45" s="1" nd="1"/>
        <i x="723" s="1" nd="1"/>
        <i x="748" s="1" nd="1"/>
        <i x="743" s="1" nd="1"/>
        <i x="847" s="1" nd="1"/>
        <i x="123" s="1" nd="1"/>
        <i x="464" s="1" nd="1"/>
        <i x="700" s="1" nd="1"/>
        <i x="427" s="1" nd="1"/>
        <i x="362" s="1" nd="1"/>
        <i x="99" s="1" nd="1"/>
        <i x="480" s="1" nd="1"/>
        <i x="607" s="1" nd="1"/>
        <i x="715" s="1" nd="1"/>
        <i x="54" s="1" nd="1"/>
        <i x="297" s="1" nd="1"/>
        <i x="682" s="1" nd="1"/>
        <i x="134" s="1" nd="1"/>
        <i x="329" s="1" nd="1"/>
        <i x="535" s="1" nd="1"/>
        <i x="236" s="1" nd="1"/>
        <i x="557" s="1" nd="1"/>
        <i x="546" s="1" nd="1"/>
        <i x="850" s="1" nd="1"/>
        <i x="3" s="1" nd="1"/>
        <i x="271" s="1" nd="1"/>
        <i x="75" s="1" nd="1"/>
        <i x="129" s="1" nd="1"/>
        <i x="654" s="1" nd="1"/>
        <i x="721" s="1" nd="1"/>
        <i x="641" s="1" nd="1"/>
        <i x="230" s="1" nd="1"/>
        <i x="372" s="1" nd="1"/>
        <i x="735" s="1" nd="1"/>
        <i x="131" s="1" nd="1"/>
        <i x="85" s="1" nd="1"/>
        <i x="208" s="1" nd="1"/>
        <i x="681" s="1" nd="1"/>
        <i x="274" s="1" nd="1"/>
        <i x="471" s="1" nd="1"/>
        <i x="799" s="1" nd="1"/>
        <i x="216" s="1" nd="1"/>
        <i x="827" s="1" nd="1"/>
        <i x="69" s="1" nd="1"/>
        <i x="117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6" s="1" nd="1"/>
        <i x="361" s="1" nd="1"/>
        <i x="262" s="1" nd="1"/>
        <i x="290" s="1" nd="1"/>
        <i x="540" s="1" nd="1"/>
        <i x="810" s="1" nd="1"/>
        <i x="603" s="1" nd="1"/>
        <i x="32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50" s="1" nd="1"/>
        <i x="605" s="1" nd="1"/>
        <i x="83" s="1" nd="1"/>
        <i x="325" s="1" nd="1"/>
        <i x="35" s="1" nd="1"/>
        <i x="495" s="1" nd="1"/>
        <i x="506" s="1" nd="1"/>
        <i x="446" s="1" nd="1"/>
        <i x="165" s="1" nd="1"/>
        <i x="132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4" s="1" nd="1"/>
        <i x="669" s="1" nd="1"/>
        <i x="93" s="1" nd="1"/>
        <i x="439" s="1" nd="1"/>
        <i x="350" s="1" nd="1"/>
        <i x="784" s="1" nd="1"/>
        <i x="498" s="1" nd="1"/>
        <i x="61" s="1" nd="1"/>
        <i x="455" s="1" nd="1"/>
        <i x="81" s="1" nd="1"/>
        <i x="324" s="1" nd="1"/>
        <i x="167" s="1" nd="1"/>
        <i x="331" s="1" nd="1"/>
        <i x="564" s="1" nd="1"/>
        <i x="503" s="1" nd="1"/>
        <i x="227" s="1" nd="1"/>
        <i x="280" s="1" nd="1"/>
        <i x="92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3" s="1" nd="1"/>
        <i x="717" s="1" nd="1"/>
        <i x="110" s="1" nd="1"/>
        <i x="253" s="1" nd="1"/>
        <i x="511" s="1" nd="1"/>
        <i x="94" s="1" nd="1"/>
        <i x="522" s="1" nd="1"/>
        <i x="789" s="1" nd="1"/>
        <i x="20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1" s="1" nd="1"/>
        <i x="141" s="1" nd="1"/>
        <i x="651" s="1" nd="1"/>
        <i x="604" s="1" nd="1"/>
        <i x="440" s="1" nd="1"/>
        <i x="23" s="1" nd="1"/>
        <i x="594" s="1" nd="1"/>
        <i x="434" s="1" nd="1"/>
        <i x="67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2" s="1" nd="1"/>
        <i x="77" s="1" nd="1"/>
        <i x="528" s="1" nd="1"/>
        <i x="566" s="1" nd="1"/>
        <i x="687" s="1" nd="1"/>
        <i x="279" s="1" nd="1"/>
        <i x="524" s="1" nd="1"/>
        <i x="525" s="1" nd="1"/>
        <i x="592" s="1" nd="1"/>
        <i x="801" s="1" nd="1"/>
        <i x="583" s="1" nd="1"/>
        <i x="749" s="1" nd="1"/>
        <i x="722" s="1" nd="1"/>
        <i x="532" s="1" nd="1"/>
        <i x="46" s="1" nd="1"/>
        <i x="554" s="1" nd="1"/>
        <i x="107" s="1" nd="1"/>
        <i x="234" s="1" nd="1"/>
        <i x="358" s="1" nd="1"/>
        <i x="259" s="1" nd="1"/>
        <i x="363" s="1" nd="1"/>
        <i x="500" s="1" nd="1"/>
        <i x="145" s="1" nd="1"/>
        <i x="169" s="1" nd="1"/>
        <i x="584" s="1" nd="1"/>
        <i x="803" s="1" nd="1"/>
        <i x="791" s="1" nd="1"/>
        <i x="199" s="1" nd="1"/>
        <i x="150" s="1" nd="1"/>
        <i x="235" s="1" nd="1"/>
        <i x="502" s="1" nd="1"/>
        <i x="786" s="1" nd="1"/>
        <i x="258" s="1" nd="1"/>
        <i x="752" s="1" nd="1"/>
        <i x="127" s="1" nd="1"/>
        <i x="210" s="1" nd="1"/>
        <i x="833" s="1" nd="1"/>
        <i x="585" s="1" nd="1"/>
        <i x="796" s="1" nd="1"/>
        <i x="726" s="1" nd="1"/>
        <i x="411" s="1" nd="1"/>
        <i x="26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3" s="1" nd="1"/>
        <i x="86" s="1" nd="1"/>
        <i x="754" s="1" nd="1"/>
        <i x="154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14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5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4" s="1" nd="1"/>
        <i x="151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51" s="1" nd="1"/>
        <i x="851" s="1" nd="1"/>
        <i x="30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40" s="1" nd="1"/>
        <i x="693" s="1" nd="1"/>
        <i x="663" s="1" nd="1"/>
        <i x="808" s="1" nd="1"/>
        <i x="816" s="1" nd="1"/>
        <i x="624" s="1" nd="1"/>
        <i x="458" s="1" nd="1"/>
        <i x="691" s="1" nd="1"/>
        <i x="133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1" s="1" nd="1"/>
        <i x="646" s="1" nd="1"/>
        <i x="48" s="1" nd="1"/>
        <i x="415" s="1" nd="1"/>
        <i x="144" s="1" nd="1"/>
        <i x="728" s="1" nd="1"/>
        <i x="163" s="1" nd="1"/>
        <i x="345" s="1" nd="1"/>
        <i x="118" s="1" nd="1"/>
        <i x="289" s="1" nd="1"/>
        <i x="198" s="1" nd="1"/>
        <i x="204" s="1" nd="1"/>
        <i x="88" s="1" nd="1"/>
        <i x="28" s="1" nd="1"/>
        <i x="277" s="1" nd="1"/>
        <i x="507" s="1" nd="1"/>
        <i x="499" s="1" nd="1"/>
        <i x="68" s="1" nd="1"/>
        <i x="679" s="1" nd="1"/>
        <i x="80" s="1" nd="1"/>
        <i x="634" s="1" nd="1"/>
        <i x="66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3" s="1" nd="1"/>
        <i x="423" s="1" nd="1"/>
        <i x="27" s="1" nd="1"/>
        <i x="765" s="1" nd="1"/>
        <i x="413" s="1" nd="1"/>
        <i x="552" s="1" nd="1"/>
        <i x="96" s="1" nd="1"/>
        <i x="84" s="1" nd="1"/>
        <i x="292" s="1" nd="1"/>
        <i x="194" s="1" nd="1"/>
        <i x="496" s="1" nd="1"/>
        <i x="261" s="1" nd="1"/>
        <i x="31" s="1" nd="1"/>
        <i x="104" s="1" nd="1"/>
        <i x="533" s="1" nd="1"/>
        <i x="296" s="1" nd="1"/>
        <i x="396" s="1" nd="1"/>
        <i x="228" s="1" nd="1"/>
        <i x="8" s="1" nd="1"/>
        <i x="472" s="1" nd="1"/>
        <i x="824" s="1" nd="1"/>
        <i x="36" s="1" nd="1"/>
        <i x="310" s="1" nd="1"/>
        <i x="825" s="1" nd="1"/>
        <i x="562" s="1" nd="1"/>
        <i x="62" s="1" nd="1"/>
        <i x="568" s="1" nd="1"/>
        <i x="430" s="1" nd="1"/>
        <i x="425" s="1" nd="1"/>
        <i x="175" s="1" nd="1"/>
        <i x="365" s="1" nd="1"/>
        <i x="758" s="1" nd="1"/>
        <i x="600" s="1" nd="1"/>
        <i x="13" s="1" nd="1"/>
        <i x="91" s="1" nd="1"/>
        <i x="437" s="1" nd="1"/>
        <i x="433" s="1" nd="1"/>
        <i x="120" s="1" nd="1"/>
        <i x="630" s="1" nd="1"/>
        <i x="200" s="1" nd="1"/>
        <i x="155" s="1" nd="1"/>
        <i x="55" s="1" nd="1"/>
        <i x="547" s="1" nd="1"/>
        <i x="618" s="1" nd="1"/>
        <i x="98" s="1" nd="1"/>
        <i x="766" s="1" nd="1"/>
        <i x="125" s="1" nd="1"/>
        <i x="217" s="1" nd="1"/>
        <i x="811" s="1" nd="1"/>
        <i x="278" s="1" nd="1"/>
        <i x="106" s="1" nd="1"/>
        <i x="197" s="1" nd="1"/>
        <i x="213" s="1" nd="1"/>
        <i x="180" s="1" nd="1"/>
        <i x="73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6" s="1" nd="1"/>
        <i x="128" s="1" nd="1"/>
        <i x="4" s="1" nd="1"/>
        <i x="49" s="1" nd="1"/>
        <i x="89" s="1" nd="1"/>
        <i x="201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4" s="1" nd="1"/>
        <i x="15" s="1" nd="1"/>
        <i x="24" s="1" nd="1"/>
        <i x="4" s="1" nd="1"/>
        <i x="7" s="1" nd="1"/>
        <i x="12" s="1" nd="1"/>
        <i x="18" s="1" nd="1"/>
        <i x="19" s="1" nd="1"/>
        <i x="3" s="1" nd="1"/>
        <i x="23" s="1" nd="1"/>
        <i x="6" s="1" nd="1"/>
        <i x="22" s="1" nd="1"/>
        <i x="21" s="1" nd="1"/>
        <i x="11" s="1" nd="1"/>
        <i x="17" s="1" nd="1"/>
        <i x="20" s="1" nd="1"/>
        <i x="2" s="1" nd="1"/>
        <i x="25" s="1" nd="1"/>
        <i x="10" s="1" nd="1"/>
        <i x="13" s="1" nd="1"/>
        <i x="9" s="1" nd="1"/>
        <i x="8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5" totalsRowShown="0" headerRowDxfId="92" dataDxfId="90" headerRowBorderDxfId="91" tableBorderDxfId="89" totalsRowBorderDxfId="88">
  <autoFilter ref="A1:D395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302482</v>
      </c>
      <c r="B2" s="12" t="s">
        <v>616</v>
      </c>
      <c r="C2" s="14">
        <v>46289</v>
      </c>
      <c r="D2" s="14">
        <v>46289</v>
      </c>
      <c r="E2" s="12">
        <v>66253</v>
      </c>
      <c r="F2" s="15" t="s">
        <v>617</v>
      </c>
      <c r="G2" s="15" t="s">
        <v>618</v>
      </c>
      <c r="H2" s="15" t="s">
        <v>619</v>
      </c>
      <c r="I2" s="16">
        <v>108000</v>
      </c>
      <c r="J2" s="15" t="s">
        <v>620</v>
      </c>
      <c r="K2" s="15" t="s">
        <v>621</v>
      </c>
      <c r="L2" s="15" t="s">
        <v>622</v>
      </c>
      <c r="M2" s="15">
        <v>1835.43</v>
      </c>
      <c r="N2" s="15">
        <v>1</v>
      </c>
      <c r="O2" s="16">
        <v>151</v>
      </c>
      <c r="P2" s="15" t="s">
        <v>623</v>
      </c>
      <c r="Q2" s="15">
        <v>46.85</v>
      </c>
      <c r="R2" s="15" t="s">
        <v>624</v>
      </c>
      <c r="S2" s="15">
        <v>103.4</v>
      </c>
      <c r="T2" s="15" t="s">
        <v>625</v>
      </c>
      <c r="U2" s="15">
        <v>0</v>
      </c>
      <c r="V2" s="15">
        <v>220.25</v>
      </c>
      <c r="W2" s="15">
        <v>0</v>
      </c>
      <c r="X2" s="15">
        <v>0</v>
      </c>
      <c r="Y2" s="15">
        <v>54</v>
      </c>
      <c r="Z2" s="15">
        <v>2.79</v>
      </c>
      <c r="AA2" s="15">
        <v>1501.76</v>
      </c>
      <c r="AB2" s="15">
        <v>333.67</v>
      </c>
      <c r="AC2" s="15">
        <v>477.21</v>
      </c>
      <c r="AD2" s="15">
        <v>-192</v>
      </c>
      <c r="AE2" s="15">
        <v>0</v>
      </c>
      <c r="AF2" s="15">
        <v>-192</v>
      </c>
      <c r="AG2" s="17">
        <v>-0.10460000000000001</v>
      </c>
      <c r="AH2" s="15"/>
    </row>
    <row r="3" spans="1:34" s="1" customFormat="1" ht="12" customHeight="1" x14ac:dyDescent="0.3">
      <c r="A3" s="13">
        <v>304147</v>
      </c>
      <c r="B3" s="12" t="s">
        <v>616</v>
      </c>
      <c r="C3" s="14">
        <v>46300</v>
      </c>
      <c r="D3" s="14">
        <v>46300</v>
      </c>
      <c r="E3" s="12"/>
      <c r="F3" s="15" t="s">
        <v>626</v>
      </c>
      <c r="G3" s="15" t="s">
        <v>627</v>
      </c>
      <c r="H3" s="15" t="s">
        <v>628</v>
      </c>
      <c r="I3" s="16">
        <v>2785.34</v>
      </c>
      <c r="J3" s="15" t="s">
        <v>620</v>
      </c>
      <c r="K3" s="15" t="s">
        <v>621</v>
      </c>
      <c r="L3" s="15" t="s">
        <v>629</v>
      </c>
      <c r="M3" s="16">
        <v>147.55000000000001</v>
      </c>
      <c r="N3" s="15">
        <v>1</v>
      </c>
      <c r="O3" s="16">
        <v>24.78</v>
      </c>
      <c r="P3" s="15" t="s">
        <v>623</v>
      </c>
      <c r="Q3" s="15">
        <v>4.21</v>
      </c>
      <c r="R3" s="15" t="s">
        <v>630</v>
      </c>
      <c r="S3" s="15">
        <v>51.94</v>
      </c>
      <c r="T3" s="15" t="s">
        <v>625</v>
      </c>
      <c r="U3" s="15">
        <v>0</v>
      </c>
      <c r="V3" s="15">
        <v>17.71</v>
      </c>
      <c r="W3" s="15">
        <v>0</v>
      </c>
      <c r="X3" s="15">
        <v>0</v>
      </c>
      <c r="Y3" s="15">
        <v>1.39</v>
      </c>
      <c r="Z3" s="15">
        <v>0</v>
      </c>
      <c r="AA3" s="16">
        <v>244.42</v>
      </c>
      <c r="AB3" s="16">
        <v>-96.87</v>
      </c>
      <c r="AC3" s="15">
        <v>38.36</v>
      </c>
      <c r="AD3" s="15">
        <v>-135.22999999999999</v>
      </c>
      <c r="AE3" s="15">
        <v>0</v>
      </c>
      <c r="AF3" s="15">
        <v>-135.22999999999999</v>
      </c>
      <c r="AG3" s="17">
        <v>-0.91650000000000009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1982.98</v>
      </c>
      <c r="F3" s="89"/>
      <c r="G3" s="90"/>
      <c r="H3" s="133">
        <f>'Resumo Detalhado'!C2</f>
        <v>175.78</v>
      </c>
      <c r="I3" s="134"/>
      <c r="J3" s="135">
        <f>E3/H3</f>
        <v>11.28103310956878</v>
      </c>
      <c r="K3" s="136"/>
      <c r="L3" s="137"/>
      <c r="M3" s="138" t="s">
        <v>62</v>
      </c>
      <c r="N3" s="89"/>
      <c r="O3" s="90"/>
      <c r="P3" s="106">
        <v>1200</v>
      </c>
      <c r="Q3" s="107"/>
      <c r="R3" s="108"/>
      <c r="S3" s="103">
        <f>MIN(H3/P3,1)</f>
        <v>0.14648333333333333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1251.06</v>
      </c>
      <c r="F7" s="112"/>
      <c r="G7" s="112"/>
      <c r="H7" s="112"/>
      <c r="I7" s="112"/>
      <c r="J7" s="112">
        <f>E7/H3</f>
        <v>7.1171919444760494</v>
      </c>
      <c r="K7" s="112"/>
      <c r="L7" s="112"/>
      <c r="M7" s="130">
        <f>E7/E3</f>
        <v>0.63089895006505359</v>
      </c>
      <c r="N7" s="130"/>
      <c r="O7" s="130"/>
      <c r="P7" s="112">
        <f>E11+K11+Q11+E15+K15+Q15+E19+H19+K19</f>
        <v>2023.1152000000002</v>
      </c>
      <c r="Q7" s="112"/>
      <c r="R7" s="112"/>
      <c r="S7" s="112">
        <f>P7/H3</f>
        <v>11.509359426555923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1200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1200</v>
      </c>
      <c r="L11" s="90"/>
      <c r="M11" s="38"/>
      <c r="N11" s="88">
        <f>K11/H3</f>
        <v>6.8267152121970645</v>
      </c>
      <c r="O11" s="90"/>
      <c r="P11" s="38"/>
      <c r="Q11" s="88">
        <f>'Resumo Detalhado'!D2</f>
        <v>51.06</v>
      </c>
      <c r="R11" s="90"/>
      <c r="S11" s="38"/>
      <c r="T11" s="88">
        <f>Q11/H3</f>
        <v>0.29047673227898513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237.96</v>
      </c>
      <c r="F15" s="119"/>
      <c r="G15" s="119"/>
      <c r="H15" s="119"/>
      <c r="I15" s="132"/>
      <c r="J15" s="38"/>
      <c r="K15" s="113">
        <f>'Resumo Detalhado'!K2+'Resumo Detalhado'!L2</f>
        <v>317.27680000000004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55.39</v>
      </c>
      <c r="F19" s="120"/>
      <c r="G19" s="38"/>
      <c r="H19" s="122">
        <f>'Resumo Detalhado'!J2</f>
        <v>2.79</v>
      </c>
      <c r="I19" s="123"/>
      <c r="J19" s="38"/>
      <c r="K19" s="122">
        <f>'Resumo Detalhado'!L2</f>
        <v>158.63840000000002</v>
      </c>
      <c r="L19" s="123"/>
      <c r="M19" s="38"/>
      <c r="N19" s="121" t="s">
        <v>631</v>
      </c>
      <c r="O19" s="119"/>
      <c r="P19" s="119"/>
      <c r="Q19" s="119"/>
      <c r="R19" s="120"/>
      <c r="S19" s="121">
        <v>1200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1321.8016000000002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0.66657333911587624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7.8867187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1982.98</v>
      </c>
      <c r="C2" s="29">
        <f>SUM(C6:C5000)</f>
        <v>175.78</v>
      </c>
      <c r="D2" s="29">
        <f>SUM(D6:D5000)</f>
        <v>51.06</v>
      </c>
      <c r="E2" s="29">
        <f>SUM(E6:E5000)</f>
        <v>155.34</v>
      </c>
      <c r="F2" s="29">
        <f>SUM(F6:F5000)</f>
        <v>0</v>
      </c>
      <c r="G2" s="29"/>
      <c r="H2" s="29">
        <f t="shared" ref="H2:P2" si="0">SUM(H6:H5000)</f>
        <v>237.96</v>
      </c>
      <c r="I2" s="29">
        <f t="shared" si="0"/>
        <v>55.39</v>
      </c>
      <c r="J2" s="29">
        <f t="shared" si="0"/>
        <v>2.79</v>
      </c>
      <c r="K2" s="29">
        <f t="shared" si="0"/>
        <v>158.63840000000002</v>
      </c>
      <c r="L2" s="29">
        <f t="shared" si="0"/>
        <v>158.63840000000002</v>
      </c>
      <c r="M2" s="29">
        <f t="shared" si="0"/>
        <v>0</v>
      </c>
      <c r="N2" s="29">
        <f t="shared" si="0"/>
        <v>1321.8016000000002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302482</v>
      </c>
      <c r="B6" s="140">
        <v>1835.43</v>
      </c>
      <c r="C6" s="141">
        <v>151</v>
      </c>
      <c r="D6" s="140">
        <v>46.85</v>
      </c>
      <c r="E6" s="140">
        <v>103.4</v>
      </c>
      <c r="F6" s="140">
        <v>0</v>
      </c>
      <c r="G6" s="142">
        <v>8.1860926322442143E-2</v>
      </c>
      <c r="H6" s="140">
        <v>220.25</v>
      </c>
      <c r="I6" s="140">
        <v>54</v>
      </c>
      <c r="J6" s="140">
        <v>2.79</v>
      </c>
      <c r="K6" s="140">
        <v>146.83440000000002</v>
      </c>
      <c r="L6" s="140">
        <v>146.83440000000002</v>
      </c>
      <c r="M6" s="140">
        <v>0</v>
      </c>
      <c r="N6" s="140">
        <v>1261.3056000000001</v>
      </c>
      <c r="O6" s="142">
        <v>0.68719896699955874</v>
      </c>
      <c r="Q6"/>
    </row>
    <row r="7" spans="1:18" s="31" customFormat="1" x14ac:dyDescent="0.3">
      <c r="A7" s="139" t="s">
        <v>627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304147</v>
      </c>
      <c r="B8" s="140">
        <v>147.55000000000001</v>
      </c>
      <c r="C8" s="141">
        <v>24.78</v>
      </c>
      <c r="D8" s="140">
        <v>4.21</v>
      </c>
      <c r="E8" s="140">
        <v>51.94</v>
      </c>
      <c r="F8" s="140">
        <v>0</v>
      </c>
      <c r="G8" s="142">
        <v>0.38054896645205011</v>
      </c>
      <c r="H8" s="140">
        <v>17.71</v>
      </c>
      <c r="I8" s="140">
        <v>1.39</v>
      </c>
      <c r="J8" s="140">
        <v>0</v>
      </c>
      <c r="K8" s="140">
        <v>11.804</v>
      </c>
      <c r="L8" s="140">
        <v>11.804</v>
      </c>
      <c r="M8" s="140">
        <v>0</v>
      </c>
      <c r="N8" s="140">
        <v>60.495999999999995</v>
      </c>
      <c r="O8" s="142">
        <v>0.41000338868180269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5.441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147.55000000000001</v>
      </c>
      <c r="C2" s="29">
        <f>SUM(C6:C5000)</f>
        <v>60.495999999999995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618</v>
      </c>
      <c r="B5" s="10">
        <v>1835.43</v>
      </c>
      <c r="C5" s="10">
        <v>1261.3056000000001</v>
      </c>
    </row>
    <row r="6" spans="1:4" x14ac:dyDescent="0.3">
      <c r="A6" s="139" t="s">
        <v>627</v>
      </c>
      <c r="B6" s="140">
        <v>147.55000000000001</v>
      </c>
      <c r="C6" s="140">
        <v>60.495999999999995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5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  <row r="395" spans="1:4" x14ac:dyDescent="0.3">
      <c r="A395" s="81"/>
      <c r="B395" s="68"/>
      <c r="C395" s="143" t="s">
        <v>631</v>
      </c>
      <c r="D395" s="87">
        <v>1200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2026-10-08T12:57:39Z</dcterms:modified>
  <cp:category/>
  <cp:contentStatus/>
</cp:coreProperties>
</file>