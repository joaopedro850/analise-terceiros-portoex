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66709AE-8F9E-4A82-907F-25A4C24987F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<sst xmlns="http://schemas.openxmlformats.org/spreadsheetml/2006/main" count="858" uniqueCount="590">
  <si>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</si>
  <si>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</si>
  <si>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</si>
  <si>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</si>
  <si>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</si>
  <si>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</si>
  <si>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</si>
  <si>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</si>
  <si>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</si>
  <si>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</si>
  <si>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</si>
  <si>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</si>
  <si>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</si>
  <si>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</si>
  <si>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</si>
  <si>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</si>
  <si>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</si>
  <si>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</si>
  <si>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</si>
  <si>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</si>
  <si>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</si>
  <si>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</si>
  <si>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</si>
  <si>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</si>
  <si>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</si>
  <si>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</si>
  <si>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</si>
  <si>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</si>
  <si>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</si>
  <si>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</si>
  <si>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</si>
  <si>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</si>
  <si>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</si>
  <si>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</si>
  <si>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</si>
  <si>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</si>
  <si>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</si>
  <si>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</si>
  <si>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</si>
  <si>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</si>
  <si>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</si>
  <si>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</si>
  <si>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</si>
  <si>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</si>
  <si>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</si>
  <si>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</si>
  <si>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</si>
  <si>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</si>
  <si>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</si>
  <si>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</si>
  <si>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</si>
  <si>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</si>
  <si>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</si>
  <si>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</si>
  <si>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</si>
  <si>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</si>
  <si>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</si>
  <si>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</si>
  <si>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</si>
  <si>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</si>
  <si>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</si>
  <si>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</si>
  <si>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</si>
  <si>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</si>
  <si>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</si>
  <si>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</si>
  <si>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</si>
  <si>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</si>
  <si>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</si>
  <si>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</si>
  <si>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</si>
  <si>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</si>
  <si>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</si>
  <si>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</si>
  <si>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</si>
  <si>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</si>
  <si>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</si>
  <si>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</si>
  <si>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</si>
  <si>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</si>
  <si>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</si>
  <si>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</si>
  <si>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</si>
  <si>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</si>
  <si>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</si>
  <si>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</si>
  <si>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</si>
  <si>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</si>
  <si>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</si>
  <si>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</si>
  <si>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</si>
  <si>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</si>
  <si>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</si>
  <si>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</si>
  <si>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</si>
  <si>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</si>
  <si>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</si>
  <si>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</si>
  <si>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</si>
  <si>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</si>
  <si>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</si>
  <si>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</si>
  <si>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</si>
  <si>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</si>
  <si>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</si>
  <si>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</si>
  <si>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</si>
  <si>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</si>
  <si>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</si>
  <si>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</si>
  <si>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</si>
  <si>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</si>
  <si>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</si>
  <si>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</si>
  <si>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</si>
  <si>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</si>
  <si>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</si>
  <si>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</si>
  <si>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</si>
  <si>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</si>
  <si>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</si>
  <si>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</si>
  <si>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</si>
  <si>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</si>
  <si>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</si>
  <si>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</si>
  <si>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</si>
  <si>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</si>
  <si>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</si>
  <si>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</si>
  <si>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</si>
  <si>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</si>
  <si>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</si>
  <si>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</si>
  <si>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</si>
  <si>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</si>
  <si>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</si>
  <si>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</si>
  <si>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</si>
  <si>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</si>
  <si>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</si>
  <si>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</si>
  <si>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</si>
  <si>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</si>
  <si>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</si>
  <si>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</si>
  <si>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</si>
  <si>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</si>
  <si>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</si>
  <si>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</si>
  <si>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</si>
  <si>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</si>
  <si>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</si>
  <si>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</si>
  <si>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</si>
  <si>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</si>
  <si>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</si>
  <si>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</si>
  <si>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</si>
  <si>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</si>
  <si>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</si>
  <si>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</si>
  <si>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</si>
  <si>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</si>
  <si>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</si>
  <si>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</si>
  <si>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</si>
  <si>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</si>
  <si>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</si>
  <si>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</si>
  <si>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</si>
  <si>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</si>
  <si>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</si>
  <si>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</si>
  <si>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</si>
  <si>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</si>
  <si>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</si>
  <si>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</si>
  <si>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</si>
  <si>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</si>
  <si>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</si>
  <si>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</si>
  <si>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</si>
  <si>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</si>
  <si>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</si>
  <si>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</si>
  <si>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</si>
  <si>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</si>
  <si>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</si>
  <si>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</si>
  <si>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</si>
  <si>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</si>
  <si>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</si>
  <si>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</si>
  <si>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</si>
  <si>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</si>
  <si>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</si>
  <si>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</si>
  <si>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</si>
  <si>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</si>
  <si>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</si>
  <si>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</si>
  <si>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</si>
  <si>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</si>
  <si>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</si>
  <si>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</si>
  <si>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</si>
  <si>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</si>
  <si>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</si>
  <si>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</si>
  <si>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</si>
  <si>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</si>
  <si>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</si>
  <si>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</si>
  <si>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</si>
  <si>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</si>
  <si>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</si>
  <si>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</si>
  <si>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</si>
  <si>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</si>
  <si>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</si>
  <si>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</si>
  <si>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</si>
  <si>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</si>
  <si>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</si>
  <si>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</si>
  <si>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</si>
  <si>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</si>
  <si>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</si>
  <si>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</si>
  <si>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</si>
  <si>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</si>
  <si>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</si>
  <si>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</si>
  <si>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</si>
  <si>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</si>
  <si>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</si>
  <si>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</si>
  <si>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</si>
  <si>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</si>
  <si>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</si>
  <si>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</si>
  <si>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</si>
  <si>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</si>
  <si>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</si>
  <si>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</si>
  <si>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</si>
  <si>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</si>
  <si>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</si>
  <si>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</si>
  <si>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</si>
  <si>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</si>
  <si>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</si>
  <si>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</si>
  <si>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</si>
  <si>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</si>
  <si>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</si>
  <si>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</si>
  <si>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</si>
  <si>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</si>
  <si>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</si>
  <si>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</si>
  <si>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</si>
  <si>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</si>
  <si>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</si>
  <si>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</si>
  <si>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</si>
  <si>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</si>
  <si>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</si>
  <si>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</si>
  <si>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</si>
  <si>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</si>
  <si>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</si>
  <si>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</si>
  <si>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</si>
  <si>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</si>
  <si>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</si>
  <si>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</si>
  <si>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</si>
  <si>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</si>
  <si>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</si>
  <si>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</si>
  <si>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</si>
  <si>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</si>
  <si>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</si>
  <si>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</si>
  <si>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</si>
  <si>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</si>
  <si>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</si>
  <si>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</si>
  <si>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</si>
  <si>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</si>
  <si>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</si>
  <si>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</si>
  <si>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</si>
  <si>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</si>
  <si>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</si>
  <si>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</si>
  <si>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</si>
  <si>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</si>
  <si>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</si>
  <si>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</si>
  <si>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</si>
  <si>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</si>
  <si>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</si>
  <si>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</si>
  <si>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</si>
  <si>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</si>
  <si>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</si>
  <si>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</si>
  <si>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</si>
  <si>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</si>
  <si>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</si>
  <si>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</si>
  <si>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</si>
  <si>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</si>
  <si>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</si>
  <si>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</si>
  <si>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</si>
  <si>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</si>
  <si>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</si>
  <si>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</si>
  <si>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</si>
  <si>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</si>
  <si>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</si>
  <si>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</si>
  <si>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</si>
  <si>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</si>
  <si>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</si>
  <si>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</si>
  <si>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</si>
  <si>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</si>
  <si>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</si>
  <si>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</si>
  <si>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</si>
  <si>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</si>
  <si>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</si>
  <si>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</si>
  <si>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</si>
  <si>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</si>
  <si>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</si>
  <si>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</si>
  <si>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</si>
  <si>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</si>
  <si>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</si>
  <si>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</si>
  <si>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</si>
  <si>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</si>
  <si>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</si>
  <si>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</si>
  <si>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</si>
  <si>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</si>
  <si>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</si>
  <si>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</si>
  <si>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</si>
  <si>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</si>
  <si>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</si>
  <si>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</si>
  <si>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</si>
  <si>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</si>
  <si>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</si>
  <si>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</si>
  <si>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</si>
  <si>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</si>
  <si>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</si>
  <si>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</si>
  <si>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</si>
  <si>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</si>
  <si>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</si>
  <si>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</si>
  <si>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</si>
  <si>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</si>
  <si>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</si>
  <si>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</si>
  <si>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</si>
  <si>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</si>
  <si>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</si>
  <si>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</si>
  <si>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</si>
  <si>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</si>
  <si>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</si>
  <si>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</si>
  <si>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</si>
  <si>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</si>
  <si>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</si>
  <si>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</si>
  <si>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</si>
  <si>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</si>
  <si>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</si>
  <si>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</si>
  <si>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</si>
  <si>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</si>
  <si>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</si>
  <si>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</si>
  <si>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</si>
  <si>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</si>
  <si>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</si>
  <si>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</si>
  <si>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</si>
  <si>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</si>
  <si>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</si>
  <si>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</si>
  <si>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</si>
  <si>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</si>
  <si>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</si>
  <si>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</si>
  <si>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</si>
  <si>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</si>
  <si>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</si>
  <si>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</si>
  <si>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</si>
  <si>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</si>
  <si>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</si>
  <si>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</si>
  <si>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</si>
  <si>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</si>
  <si>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</si>
  <si>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</si>
  <si>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</si>
  <si>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</si>
  <si>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</si>
  <si>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</si>
  <si>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</si>
  <si>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</si>
  <si>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</si>
  <si>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</si>
  <si>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</si>
  <si>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</si>
  <si>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</si>
  <si>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</si>
  <si>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</si>
  <si>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</si>
  <si>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</si>
  <si>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</si>
  <si>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</si>
  <si>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</si>
  <si>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</si>
  <si>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</si>
  <si>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</si>
  <si>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</si>
  <si>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</si>
  <si>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</si>
  <si>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</si>
  <si>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</si>
  <si>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</si>
  <si>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</si>
  <si>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</si>
  <si>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</si>
  <si>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</si>
  <si>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</si>
  <si>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</si>
  <si>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</si>
  <si>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</si>
  <si>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</si>
  <si>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</si>
  <si>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</si>
  <si>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</si>
  <si>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</si>
  <si>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</si>
  <si>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</si>
  <si>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</si>
  <si>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</si>
  <si>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</si>
  <si>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</si>
  <si>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</si>
  <si>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</si>
  <si>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</si>
  <si>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</si>
  <si>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</si>
  <si>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</si>
  <si>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</si>
  <si>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</si>
  <si>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</si>
  <si>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</si>
  <si>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</si>
  <si>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</si>
  <si>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</si>
  <si>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</si>
  <si>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</si>
  <si>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</si>
  <si>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</si>
  <si>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</si>
  <si>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</si>
  <si>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</si>
  <si>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</si>
  <si>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</si>
  <si>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</si>
  <si>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</si>
  <si>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</si>
  <si>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</si>
  <si>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</si>
  <si>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</si>
  <si>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</si>
  <si>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</si>
  <si>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</si>
  <si>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</si>
  <si>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</si>
  <si>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</si>
  <si>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</si>
  <si>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</si>
  <si>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</si>
  <si>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</si>
  <si>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</si>
  <si>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</si>
  <si>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</si>
  <si>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</si>
  <si>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</si>
  <si>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</si>
  <si>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</si>
  <si>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</si>
  <si>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</si>
  <si>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</si>
  <si>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</si>
  <si>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</si>
  <si>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</si>
  <si>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</si>
  <si>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</si>
  <si>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</si>
  <si>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</si>
  <si>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</si>
  <si>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</si>
  <si>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</si>
  <si>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</si>
  <si>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</si>
  <si>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</si>
  <si>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</si>
  <si>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</si>
  <si>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</si>
  <si>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</si>
  <si>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</si>
  <si>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</si>
  <si>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</si>
  <si>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</si>
  <si>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</si>
  <si>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</si>
  <si>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</si>
  <si>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</si>
  <si>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</si>
  <si>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</si>
  <si>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</si>
  <si>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</si>
  <si>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</si>
  <si>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</si>
  <si>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</si>
  <si>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</si>
  <si>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</si>
  <si>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</si>
  <si>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</si>
  <si>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</si>
  <si>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</si>
  <si>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</si>
  <si>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</si>
  <si>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</si>
  <si>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</si>
  <si>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</si>
  <si>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</si>
  <si>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</si>
  <si>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</si>
  <si>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</si>
  <si>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</si>
  <si>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</si>
  <si>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</si>
  <si>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</si>
  <si>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</si>
  <si>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</si>
  <si>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</si>
  <si>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</si>
  <si>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</si>
  <si>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</si>
  <si>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</si>
  <si>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</si>
  <si>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</si>
  <si>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</si>
  <si>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</si>
  <si>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</si>
  <si>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</si>
  <si>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</si>
  <si>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</si>
  <si>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</si>
  <si>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</si>
  <si>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2991-1</t>
  </si>
  <si>
    <t>AC COMERCIAL IM</t>
  </si>
  <si>
    <t>TIAGO SANTANA</t>
  </si>
  <si>
    <t>PERSONALIZADO_L</t>
  </si>
  <si>
    <t>CTE NORMAL</t>
  </si>
  <si>
    <t>VIANA - ES</t>
  </si>
  <si>
    <t>THIAGO CORREA</t>
  </si>
  <si>
    <t>INDEFINIDO</t>
  </si>
  <si>
    <t>Navegantes-Sc X Viana-Es3/4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</si>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</sst>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[Analise_THIAGO_10092026.xlsx]Resumo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13640.81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1200.2051999999996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[Analise_THIAGO_10092026.xlsx]Resumo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13640.81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1200.2051999999996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0.42164942129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09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9045.94" maxValue="169045.94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640.81" maxValue="13640.81"/>
    </cacheField>
    <cacheField name="VOLUMES" numFmtId="0">
      <sharedItems containsString="0" containsBlank="1" containsNumber="1" containsInteger="1" minValue="9" maxValue="9"/>
    </cacheField>
    <cacheField name="PESO" numFmtId="0">
      <sharedItems containsString="0" containsBlank="1" containsNumber="1" containsInteger="1" minValue="3240" maxValue="324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0200" maxValue="10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54.86" maxValue="954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7.62" maxValue="67.6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222.48" maxValue="11222.48"/>
    </cacheField>
    <cacheField name="RECEITA" numFmtId="0">
      <sharedItems containsString="0" containsBlank="1" containsNumber="1" minValue="2418.33" maxValue="2418.33"/>
    </cacheField>
    <cacheField name="IMPOSTO" numFmtId="0">
      <sharedItems containsString="0" containsBlank="1" containsNumber="1" minValue="2182.5300000000002" maxValue="2182.5300000000002"/>
    </cacheField>
    <cacheField name="RESULTADO" numFmtId="0">
      <sharedItems containsString="0" containsBlank="1" containsNumber="1" minValue="235.8" maxValue="235.8"/>
    </cacheField>
    <cacheField name="COMIS" numFmtId="0">
      <sharedItems containsString="0" containsBlank="1" containsNumber="1" minValue="126.86" maxValue="126.86"/>
    </cacheField>
    <cacheField name="LUCRO LIQ" numFmtId="0">
      <sharedItems containsString="0" containsBlank="1" containsNumber="1" minValue="108.94" maxValue="108.94"/>
    </cacheField>
    <cacheField name="MARGEM" numFmtId="10">
      <sharedItems containsString="0" containsBlank="1" containsNumber="1" minValue="8.0000000000000002E-3" maxValue="8.0000000000000002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0T00:00:00"/>
    <m/>
    <s v="2991-1"/>
    <x v="0"/>
    <s v="TIAGO SANTANA"/>
    <n v="169045.94"/>
    <x v="0"/>
    <s v="CTE NORMAL"/>
    <s v="VIANA - ES"/>
    <n v="13640.81"/>
    <n v="9"/>
    <n v="3240"/>
    <s v="MATRIZ"/>
    <n v="0"/>
    <s v="THIAGO CORREA"/>
    <n v="10200"/>
    <s v="INDEFINIDO"/>
    <n v="0"/>
    <n v="954.86"/>
    <n v="0"/>
    <n v="0"/>
    <n v="67.62"/>
    <n v="0"/>
    <n v="11222.48"/>
    <n v="2418.33"/>
    <n v="2182.5300000000002"/>
    <n v="235.8"/>
    <n v="126.86"/>
    <n v="108.94"/>
    <n v="8.0000000000000002E-3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3091</v>
      </c>
      <c r="B2" s="12" t="s">
        <v>579</v>
      </c>
      <c r="C2" s="14">
        <v>46275</v>
      </c>
      <c r="D2" s="14">
        <v>46275</v>
      </c>
      <c r="E2" s="12"/>
      <c r="F2" s="15" t="s">
        <v>580</v>
      </c>
      <c r="G2" s="15" t="s">
        <v>581</v>
      </c>
      <c r="H2" s="15" t="s">
        <v>582</v>
      </c>
      <c r="I2" s="16">
        <v>169045.94</v>
      </c>
      <c r="J2" s="15" t="s">
        <v>583</v>
      </c>
      <c r="K2" s="15" t="s">
        <v>584</v>
      </c>
      <c r="L2" s="15" t="s">
        <v>585</v>
      </c>
      <c r="M2" s="15">
        <v>13640.81</v>
      </c>
      <c r="N2" s="15">
        <v>9</v>
      </c>
      <c r="O2" s="16">
        <v>3240</v>
      </c>
      <c r="P2" s="15" t="s">
        <v>579</v>
      </c>
      <c r="Q2" s="15">
        <v>0</v>
      </c>
      <c r="R2" s="15" t="s">
        <v>586</v>
      </c>
      <c r="S2" s="15">
        <v>10200</v>
      </c>
      <c r="T2" s="15" t="s">
        <v>587</v>
      </c>
      <c r="U2" s="15">
        <v>0</v>
      </c>
      <c r="V2" s="15">
        <v>954.86</v>
      </c>
      <c r="W2" s="15">
        <v>0</v>
      </c>
      <c r="X2" s="15">
        <v>0</v>
      </c>
      <c r="Y2" s="15">
        <v>67.62</v>
      </c>
      <c r="Z2" s="15">
        <v>0</v>
      </c>
      <c r="AA2" s="15">
        <v>11222.48</v>
      </c>
      <c r="AB2" s="15">
        <v>2418.33</v>
      </c>
      <c r="AC2" s="15">
        <v>2182.5300000000002</v>
      </c>
      <c r="AD2" s="15">
        <v>235.8</v>
      </c>
      <c r="AE2" s="15">
        <v>126.86</v>
      </c>
      <c r="AF2" s="15">
        <v>108.94</v>
      </c>
      <c r="AG2" s="17">
        <v>8.0000000000000002E-3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13640.81</v>
      </c>
      <c r="F3" s="93"/>
      <c r="G3" s="94"/>
      <c r="H3" s="95">
        <f>'Resumo Detalhado'!C2</f>
        <v>3240</v>
      </c>
      <c r="I3" s="96"/>
      <c r="J3" s="97">
        <f>E3/H3</f>
        <v>4.210126543209876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0.92571428571428571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10200</v>
      </c>
      <c r="F7" s="109"/>
      <c r="G7" s="109"/>
      <c r="H7" s="109"/>
      <c r="I7" s="109"/>
      <c r="J7" s="109">
        <f>E7/H3</f>
        <v>3.1481481481481484</v>
      </c>
      <c r="K7" s="109"/>
      <c r="L7" s="109"/>
      <c r="M7" s="110">
        <f>E7/E3</f>
        <v>0.74775618163437507</v>
      </c>
      <c r="N7" s="110"/>
      <c r="O7" s="110"/>
      <c r="P7" s="109">
        <f>E11+K11+Q11+E15+K15+Q15+E19+H19+K19</f>
        <v>14496.274400000002</v>
      </c>
      <c r="Q7" s="109"/>
      <c r="R7" s="109"/>
      <c r="S7" s="109">
        <f>P7/H3</f>
        <v>4.4741587654320991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10200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10200</v>
      </c>
      <c r="L11" s="94"/>
      <c r="M11" s="38"/>
      <c r="N11" s="92">
        <f>K11/H3</f>
        <v>3.1481481481481484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954.86</v>
      </c>
      <c r="F15" s="113"/>
      <c r="G15" s="113"/>
      <c r="H15" s="113"/>
      <c r="I15" s="114"/>
      <c r="J15" s="38"/>
      <c r="K15" s="116">
        <f>'Resumo Detalhado'!K2+'Resumo Detalhado'!L2</f>
        <v>2182.5295999999998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67.62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1091.2647999999999</v>
      </c>
      <c r="L19" s="108"/>
      <c r="M19" s="38"/>
      <c r="N19" s="112" t="s">
        <v>588</v>
      </c>
      <c r="O19" s="113"/>
      <c r="P19" s="113"/>
      <c r="Q19" s="113"/>
      <c r="R19" s="119"/>
      <c r="S19" s="112">
        <v>7300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1200.2051999999996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8.7986358581345223E-2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3.1093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13640.81</v>
      </c>
      <c r="C2" s="29">
        <f>SUM(C6:C5000)</f>
        <v>3240</v>
      </c>
      <c r="D2" s="29">
        <f>SUM(D6:D5000)</f>
        <v>0</v>
      </c>
      <c r="E2" s="29">
        <f>SUM(E6:E5000)</f>
        <v>10200</v>
      </c>
      <c r="F2" s="29">
        <f>SUM(F6:F5000)</f>
        <v>0</v>
      </c>
      <c r="G2" s="29"/>
      <c r="H2" s="29">
        <f t="shared" ref="H2:P2" si="0">SUM(H6:H5000)</f>
        <v>954.86</v>
      </c>
      <c r="I2" s="29">
        <f t="shared" si="0"/>
        <v>67.62</v>
      </c>
      <c r="J2" s="29">
        <f t="shared" si="0"/>
        <v>0</v>
      </c>
      <c r="K2" s="29">
        <f t="shared" si="0"/>
        <v>1091.2647999999999</v>
      </c>
      <c r="L2" s="29">
        <f t="shared" si="0"/>
        <v>1091.2647999999999</v>
      </c>
      <c r="M2" s="29">
        <f t="shared" si="0"/>
        <v>126.86</v>
      </c>
      <c r="N2" s="29">
        <f t="shared" si="0"/>
        <v>1200.2051999999996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3091</v>
      </c>
      <c r="B6" s="140">
        <v>13640.81</v>
      </c>
      <c r="C6" s="141">
        <v>3240</v>
      </c>
      <c r="D6" s="140">
        <v>0</v>
      </c>
      <c r="E6" s="140">
        <v>10200</v>
      </c>
      <c r="F6" s="140">
        <v>0</v>
      </c>
      <c r="G6" s="142">
        <v>0.74775618163437507</v>
      </c>
      <c r="H6" s="140">
        <v>954.86</v>
      </c>
      <c r="I6" s="140">
        <v>67.62</v>
      </c>
      <c r="J6" s="140">
        <v>0</v>
      </c>
      <c r="K6" s="140">
        <v>1091.2647999999999</v>
      </c>
      <c r="L6" s="140">
        <v>1091.2647999999999</v>
      </c>
      <c r="M6" s="140">
        <v>126.86</v>
      </c>
      <c r="N6" s="140">
        <v>1200.2051999999996</v>
      </c>
      <c r="O6" s="142">
        <v>8.7986358581345223E-2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13640.81</v>
      </c>
      <c r="C5" s="10">
        <v>1200.2051999999996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588</v>
      </c>
      <c r="D368" s="87">
        <v>7300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2026-09-15T13:07:20Z</dcterms:modified>
  <cp:category/>
  <cp:contentStatus/>
</cp:coreProperties>
</file>