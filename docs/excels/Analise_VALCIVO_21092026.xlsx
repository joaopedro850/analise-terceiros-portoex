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3D533B4-6D03-4392-8EE6-DF38929C58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<sst xmlns="http://schemas.openxmlformats.org/spreadsheetml/2006/main" count="892" uniqueCount="617">
  <si>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</si>
  <si>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</si>
  <si>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</si>
  <si>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</si>
  <si>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</si>
  <si>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</si>
  <si>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</si>
  <si>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</si>
  <si>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</si>
  <si>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</si>
  <si>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</si>
  <si>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</si>
  <si>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</si>
  <si>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</si>
  <si>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</si>
  <si>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</si>
  <si>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</si>
  <si>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</si>
  <si>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</si>
  <si>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</si>
  <si>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</si>
  <si>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</si>
  <si>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</si>
  <si>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</si>
  <si>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</si>
  <si>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</si>
  <si>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</si>
  <si>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</si>
  <si>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</si>
  <si>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</si>
  <si>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</si>
  <si>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</si>
  <si>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</si>
  <si>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</si>
  <si>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</si>
  <si>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</si>
  <si>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</si>
  <si>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</si>
  <si>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</si>
  <si>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</si>
  <si>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</si>
  <si>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</si>
  <si>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</si>
  <si>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</si>
  <si>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</si>
  <si>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</si>
  <si>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</si>
  <si>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</si>
  <si>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</si>
  <si>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</si>
  <si>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</si>
  <si>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</si>
  <si>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</si>
  <si>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</si>
  <si>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</si>
  <si>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</si>
  <si>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</si>
  <si>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</si>
  <si>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</si>
  <si>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</si>
  <si>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</si>
  <si>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</si>
  <si>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</si>
  <si>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</si>
  <si>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</si>
  <si>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</si>
  <si>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</si>
  <si>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</si>
  <si>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</si>
  <si>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</si>
  <si>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</si>
  <si>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</si>
  <si>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</si>
  <si>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</si>
  <si>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</si>
  <si>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</si>
  <si>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</si>
  <si>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</si>
  <si>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</si>
  <si>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</si>
  <si>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</si>
  <si>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</si>
  <si>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</si>
  <si>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</si>
  <si>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</si>
  <si>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</si>
  <si>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</si>
  <si>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</si>
  <si>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</si>
  <si>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</si>
  <si>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</si>
  <si>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</si>
  <si>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</si>
  <si>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</si>
  <si>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</si>
  <si>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</si>
  <si>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</si>
  <si>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</si>
  <si>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</si>
  <si>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</si>
  <si>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</si>
  <si>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</si>
  <si>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</si>
  <si>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</si>
  <si>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</si>
  <si>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</si>
  <si>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</si>
  <si>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</si>
  <si>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</si>
  <si>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</si>
  <si>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</si>
  <si>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</si>
  <si>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</si>
  <si>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</si>
  <si>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</si>
  <si>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</si>
  <si>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</si>
  <si>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</si>
  <si>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</si>
  <si>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</si>
  <si>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</si>
  <si>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</si>
  <si>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</si>
  <si>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</si>
  <si>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</si>
  <si>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</si>
  <si>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</si>
  <si>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</si>
  <si>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</si>
  <si>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</si>
  <si>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</si>
  <si>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</si>
  <si>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</si>
  <si>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</si>
  <si>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</si>
  <si>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</si>
  <si>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</si>
  <si>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</si>
  <si>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</si>
  <si>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</si>
  <si>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</si>
  <si>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</si>
  <si>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</si>
  <si>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</si>
  <si>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</si>
  <si>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</si>
  <si>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</si>
  <si>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</si>
  <si>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</si>
  <si>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</si>
  <si>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</si>
  <si>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</si>
  <si>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</si>
  <si>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</si>
  <si>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</si>
  <si>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</si>
  <si>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</si>
  <si>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</si>
  <si>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</si>
  <si>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</si>
  <si>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</si>
  <si>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</si>
  <si>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</si>
  <si>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</si>
  <si>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</si>
  <si>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</si>
  <si>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</si>
  <si>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</si>
  <si>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</si>
  <si>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</si>
  <si>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</si>
  <si>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</si>
  <si>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</si>
  <si>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</si>
  <si>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</si>
  <si>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</si>
  <si>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</si>
  <si>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</si>
  <si>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</si>
  <si>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</si>
  <si>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</si>
  <si>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</si>
  <si>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</si>
  <si>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</si>
  <si>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</si>
  <si>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</si>
  <si>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</si>
  <si>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</si>
  <si>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</si>
  <si>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</si>
  <si>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</si>
  <si>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</si>
  <si>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</si>
  <si>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</si>
  <si>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</si>
  <si>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</si>
  <si>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</si>
  <si>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</si>
  <si>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</si>
  <si>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</si>
  <si>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</si>
  <si>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</si>
  <si>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</si>
  <si>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</si>
  <si>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</si>
  <si>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</si>
  <si>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</si>
  <si>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</si>
  <si>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</si>
  <si>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</si>
  <si>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</si>
  <si>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</si>
  <si>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</si>
  <si>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</si>
  <si>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</si>
  <si>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</si>
  <si>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</si>
  <si>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</si>
  <si>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</si>
  <si>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</si>
  <si>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</si>
  <si>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</si>
  <si>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</si>
  <si>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</si>
  <si>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</si>
  <si>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</si>
  <si>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</si>
  <si>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</si>
  <si>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</si>
  <si>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</si>
  <si>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</si>
  <si>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</si>
  <si>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</si>
  <si>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</si>
  <si>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</si>
  <si>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</si>
  <si>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</si>
  <si>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</si>
  <si>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</si>
  <si>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</si>
  <si>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</si>
  <si>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</si>
  <si>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</si>
  <si>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</si>
  <si>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</si>
  <si>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</si>
  <si>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</si>
  <si>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</si>
  <si>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</si>
  <si>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</si>
  <si>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</si>
  <si>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</si>
  <si>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</si>
  <si>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</si>
  <si>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</si>
  <si>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</si>
  <si>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</si>
  <si>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</si>
  <si>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</si>
  <si>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</si>
  <si>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</si>
  <si>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</si>
  <si>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</si>
  <si>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</si>
  <si>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</si>
  <si>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</si>
  <si>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</si>
  <si>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</si>
  <si>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</si>
  <si>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</si>
  <si>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</si>
  <si>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</si>
  <si>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</si>
  <si>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</si>
  <si>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</si>
  <si>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</si>
  <si>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</si>
  <si>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</si>
  <si>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</si>
  <si>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</si>
  <si>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</si>
  <si>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</si>
  <si>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</si>
  <si>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</si>
  <si>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</si>
  <si>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</si>
  <si>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</si>
  <si>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</si>
  <si>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</si>
  <si>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</si>
  <si>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</si>
  <si>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</si>
  <si>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</si>
  <si>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</si>
  <si>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</si>
  <si>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</si>
  <si>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</si>
  <si>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</si>
  <si>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</si>
  <si>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</si>
  <si>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</si>
  <si>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</si>
  <si>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</si>
  <si>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</si>
  <si>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</si>
  <si>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</si>
  <si>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</si>
  <si>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</si>
  <si>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</si>
  <si>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</si>
  <si>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</si>
  <si>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</si>
  <si>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</si>
  <si>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</si>
  <si>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</si>
  <si>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</si>
  <si>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</si>
  <si>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</si>
  <si>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</si>
  <si>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</si>
  <si>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</si>
  <si>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</si>
  <si>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</si>
  <si>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</si>
  <si>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</si>
  <si>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</si>
  <si>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</si>
  <si>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</si>
  <si>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</si>
  <si>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</si>
  <si>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</si>
  <si>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</si>
  <si>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</si>
  <si>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</si>
  <si>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</si>
  <si>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</si>
  <si>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</si>
  <si>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</si>
  <si>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</si>
  <si>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</si>
  <si>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</si>
  <si>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</si>
  <si>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</si>
  <si>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</si>
  <si>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</si>
  <si>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</si>
  <si>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</si>
  <si>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</si>
  <si>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</si>
  <si>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</si>
  <si>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</si>
  <si>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</si>
  <si>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</si>
  <si>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</si>
  <si>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</si>
  <si>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</si>
  <si>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</si>
  <si>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</si>
  <si>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</si>
  <si>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</si>
  <si>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</si>
  <si>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</si>
  <si>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</si>
  <si>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</si>
  <si>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</si>
  <si>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</si>
  <si>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</si>
  <si>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</si>
  <si>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</si>
  <si>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</si>
  <si>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</si>
  <si>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</si>
  <si>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</si>
  <si>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</si>
  <si>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</si>
  <si>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</si>
  <si>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</si>
  <si>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</si>
  <si>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</si>
  <si>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</si>
  <si>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</si>
  <si>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</si>
  <si>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</si>
  <si>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</si>
  <si>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</si>
  <si>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</si>
  <si>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</si>
  <si>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</si>
  <si>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</si>
  <si>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</si>
  <si>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</si>
  <si>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</si>
  <si>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</si>
  <si>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</si>
  <si>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</si>
  <si>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</si>
  <si>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</si>
  <si>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</si>
  <si>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</si>
  <si>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</si>
  <si>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</si>
  <si>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</si>
  <si>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</si>
  <si>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</si>
  <si>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</si>
  <si>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</si>
  <si>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</si>
  <si>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</si>
  <si>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</si>
  <si>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</si>
  <si>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</si>
  <si>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</si>
  <si>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</si>
  <si>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</si>
  <si>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</si>
  <si>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</si>
  <si>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</si>
  <si>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</si>
  <si>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</si>
  <si>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</si>
  <si>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</si>
  <si>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</si>
  <si>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</si>
  <si>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</si>
  <si>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</si>
  <si>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</si>
  <si>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</si>
  <si>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</si>
  <si>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</si>
  <si>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</si>
  <si>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</si>
  <si>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</si>
  <si>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</si>
  <si>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</si>
  <si>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</si>
  <si>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</si>
  <si>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</si>
  <si>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</si>
  <si>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</si>
  <si>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</si>
  <si>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</si>
  <si>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</si>
  <si>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</si>
  <si>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</si>
  <si>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</si>
  <si>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</si>
  <si>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</si>
  <si>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</si>
  <si>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</si>
  <si>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</si>
  <si>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</si>
  <si>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</si>
  <si>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</si>
  <si>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</si>
  <si>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</si>
  <si>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</si>
  <si>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</si>
  <si>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</si>
  <si>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</si>
  <si>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</si>
  <si>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</si>
  <si>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</si>
  <si>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</si>
  <si>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</si>
  <si>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</si>
  <si>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</si>
  <si>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</si>
  <si>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</si>
  <si>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</si>
  <si>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</si>
  <si>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</si>
  <si>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</si>
  <si>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</si>
  <si>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</si>
  <si>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</si>
  <si>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</si>
  <si>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</si>
  <si>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</si>
  <si>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</si>
  <si>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</si>
  <si>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</si>
  <si>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</si>
  <si>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</si>
  <si>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</si>
  <si>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</si>
  <si>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</si>
  <si>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</si>
  <si>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</si>
  <si>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</si>
  <si>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</si>
  <si>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</si>
  <si>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</si>
  <si>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</si>
  <si>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</si>
  <si>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</si>
  <si>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</si>
  <si>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</si>
  <si>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</si>
  <si>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</si>
  <si>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</si>
  <si>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</si>
  <si>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</si>
  <si>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</si>
  <si>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</si>
  <si>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</si>
  <si>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</si>
  <si>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</si>
  <si>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</si>
  <si>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</si>
  <si>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</si>
  <si>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</si>
  <si>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</si>
  <si>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</si>
  <si>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</si>
  <si>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</si>
  <si>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</si>
  <si>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</si>
  <si>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</si>
  <si>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</si>
  <si>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</si>
  <si>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</si>
  <si>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</si>
  <si>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</si>
  <si>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</si>
  <si>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</si>
  <si>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</si>
  <si>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</si>
  <si>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</si>
  <si>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</si>
  <si>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</si>
  <si>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</si>
  <si>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</si>
  <si>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</si>
  <si>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</si>
  <si>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</si>
  <si>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</si>
  <si>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</si>
  <si>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</si>
  <si>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</si>
  <si>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</si>
  <si>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</si>
  <si>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</si>
  <si>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</si>
  <si>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</si>
  <si>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</si>
  <si>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</si>
  <si>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</si>
  <si>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</si>
  <si>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</si>
  <si>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</si>
  <si>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</si>
  <si>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</si>
  <si>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</si>
  <si>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</si>
  <si>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</si>
  <si>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</si>
  <si>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</si>
  <si>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</si>
  <si>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</si>
  <si>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</si>
  <si>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</si>
  <si>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</si>
  <si>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</si>
  <si>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</si>
  <si>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</si>
  <si>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</si>
  <si>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</si>
  <si>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</si>
  <si>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</si>
  <si>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</si>
  <si>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</si>
  <si>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</si>
  <si>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</si>
  <si>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</si>
  <si>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</si>
  <si>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</si>
  <si>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</si>
  <si>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</si>
  <si>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</si>
  <si>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</si>
  <si>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</si>
  <si>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</si>
  <si>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</si>
  <si>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</si>
  <si>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</si>
  <si>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</si>
  <si>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</si>
  <si>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</si>
  <si>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</si>
  <si>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</si>
  <si>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</si>
  <si>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</si>
  <si>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</si>
  <si>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</si>
  <si>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</si>
  <si>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</si>
  <si>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</si>
  <si>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</si>
  <si>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</si>
  <si>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</si>
  <si>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MATRIZ</t>
  </si>
  <si>
    <t>203534-1</t>
  </si>
  <si>
    <t>SAMSONITE BRASI</t>
  </si>
  <si>
    <t>MARLON MARQUES</t>
  </si>
  <si>
    <t>EXPRESSO_200</t>
  </si>
  <si>
    <t>CTE NORMAL</t>
  </si>
  <si>
    <t>SAO CARLOS - SP</t>
  </si>
  <si>
    <t>RAFAEL VICENTE</t>
  </si>
  <si>
    <t>RISSO TRANSPORTES</t>
  </si>
  <si>
    <t>ANA CRISTINA STIEGELMEIER</t>
  </si>
  <si>
    <t>203592-1</t>
  </si>
  <si>
    <t>KUEHNE+NAGEL SE</t>
  </si>
  <si>
    <t>CORPORATIVO- GERAL</t>
  </si>
  <si>
    <t>PERSONALIZADO_L</t>
  </si>
  <si>
    <t>CACHOEIRINHA - RS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</si>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</sst>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[Analise_VALCIVO_21092026.xlsx]Resumo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3858.56</c:v>
                </c:pt>
                <c:pt idx="1">
                  <c:v>227.69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3545.7352000000001</c:v>
                </c:pt>
                <c:pt idx="1">
                  <c:v>69.204800000000006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[Analise_VALCIVO_21092026.xlsx]Resumo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3858.56</c:v>
                </c:pt>
                <c:pt idx="1">
                  <c:v>227.69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3545.7352000000001</c:v>
                </c:pt>
                <c:pt idx="1">
                  <c:v>69.204800000000006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23541666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020" count="8000">
        <n v="301875"/>
        <n v="30202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1T00:00:00" maxDate="2026-09-22T00:00:00"/>
    </cacheField>
    <cacheField name="DATA" numFmtId="14">
      <sharedItems containsNonDate="0" containsDate="1" containsString="0" containsBlank="1" minDate="2026-09-21T00:00:00" maxDate="2026-09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SAMSONITE BRASI"/>
        <s v="KUEHNE+NAGEL S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31.27" maxValue="8277.44"/>
    </cacheField>
    <cacheField name="SERVICO" numFmtId="0">
      <sharedItems containsBlank="1" count="27">
        <s v="EXPRESSO_20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27.69" maxValue="3858.56"/>
    </cacheField>
    <cacheField name="VOLUMES" numFmtId="0">
      <sharedItems containsString="0" containsBlank="1" containsNumber="1" containsInteger="1" minValue="1" maxValue="5"/>
    </cacheField>
    <cacheField name="PESO" numFmtId="0">
      <sharedItems containsString="0" containsBlank="1" containsNumber="1" minValue="99.4" maxValue="529.5"/>
    </cacheField>
    <cacheField name="RESP. COLETA" numFmtId="0">
      <sharedItems containsBlank="1"/>
    </cacheField>
    <cacheField name="CUSTO COLETA" numFmtId="0">
      <sharedItems containsString="0" containsBlank="1" containsNumber="1" minValue="0" maxValue="7.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4.63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7.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2" maxValue="4.13999999999999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35.4" maxValue="2109.0100000000002"/>
    </cacheField>
    <cacheField name="RECEITA" numFmtId="0">
      <sharedItems containsString="0" containsBlank="1" containsNumber="1" minValue="-307.70999999999998" maxValue="1749.55"/>
    </cacheField>
    <cacheField name="IMPOSTO" numFmtId="0">
      <sharedItems containsString="0" containsBlank="1" containsNumber="1" minValue="59.2" maxValue="1003.23"/>
    </cacheField>
    <cacheField name="RESULTADO" numFmtId="0">
      <sharedItems containsString="0" containsBlank="1" containsNumber="1" minValue="-366.91" maxValue="746.3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66.91" maxValue="746.32"/>
    </cacheField>
    <cacheField name="MARGEM" numFmtId="10">
      <sharedItems containsString="0" containsBlank="1" containsNumber="1" minValue="-1.6113999999999999" maxValue="0.1933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1T00:00:00"/>
    <d v="2026-09-21T00:00:00"/>
    <m/>
    <s v="203534-1"/>
    <x v="0"/>
    <s v="MARLON MARQUES"/>
    <n v="1031.27"/>
    <x v="0"/>
    <s v="CTE NORMAL"/>
    <s v="SAO CARLOS - SP"/>
    <n v="227.69"/>
    <n v="5"/>
    <n v="99.4"/>
    <s v="RAFAEL VICENTE"/>
    <n v="7.8"/>
    <s v="RISSO TRANSPORTES"/>
    <n v="104.63"/>
    <s v="ANA CRISTINA STIEGELMEIER"/>
    <n v="0"/>
    <n v="27.32"/>
    <n v="0"/>
    <n v="0"/>
    <n v="0.52"/>
    <n v="0"/>
    <n v="535.4"/>
    <n v="-307.70999999999998"/>
    <n v="59.2"/>
    <n v="-366.91"/>
    <n v="0"/>
    <n v="-366.91"/>
    <n v="-1.6113999999999999"/>
    <m/>
  </r>
  <r>
    <x v="1"/>
    <s v="MATRIZ"/>
    <d v="2026-09-21T00:00:00"/>
    <d v="2026-09-21T00:00:00"/>
    <m/>
    <s v="203592-1"/>
    <x v="1"/>
    <s v="CORPORATIVO- GERAL"/>
    <n v="8277.44"/>
    <x v="1"/>
    <s v="CTE NORMAL"/>
    <s v="CACHOEIRINHA - RS"/>
    <n v="3858.56"/>
    <n v="1"/>
    <n v="529.5"/>
    <s v="N/D"/>
    <n v="0"/>
    <s v="N/D"/>
    <n v="0"/>
    <s v="ANA CRISTINA STIEGELMEIER"/>
    <n v="0"/>
    <n v="0"/>
    <n v="0"/>
    <n v="0"/>
    <n v="4.1399999999999997"/>
    <n v="0"/>
    <n v="2109.0100000000002"/>
    <n v="1749.55"/>
    <n v="1003.23"/>
    <n v="746.32"/>
    <n v="0"/>
    <n v="746.32"/>
    <n v="0.1933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6"/>
        <item m="1" x="388"/>
        <item m="1" x="370"/>
        <item m="1" x="616"/>
        <item m="1" x="57"/>
        <item m="1" x="708"/>
        <item m="1" x="23"/>
        <item m="1" x="36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x="1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x="0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24"/>
    </i>
    <i r="1">
      <x v="7999"/>
    </i>
    <i>
      <x v="672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6"/>
        <item m="1" x="388"/>
        <item m="1" x="370"/>
        <item m="1" x="616"/>
        <item m="1" x="57"/>
        <item m="1" x="708"/>
        <item m="1" x="23"/>
        <item m="1" x="36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x="1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x="0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24"/>
    </i>
    <i>
      <x v="672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3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5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10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6" s="1" nd="1"/>
        <i x="388" s="1" nd="1"/>
        <i x="370" s="1" nd="1"/>
        <i x="616" s="1" nd="1"/>
        <i x="57" s="1" nd="1"/>
        <i x="708" s="1" nd="1"/>
        <i x="23" s="1" nd="1"/>
        <i x="36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2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8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4" s="1" nd="1"/>
        <i x="23" s="1" nd="1"/>
        <i x="7" s="1" nd="1"/>
        <i x="22" s="1" nd="1"/>
        <i x="21" s="1" nd="1"/>
        <i x="13" s="1" nd="1"/>
        <i x="19" s="1" nd="1"/>
        <i x="3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1" totalsRowShown="0" headerRowDxfId="92" dataDxfId="90" headerRowBorderDxfId="91" tableBorderDxfId="89" totalsRowBorderDxfId="88">
  <autoFilter ref="A1:D381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301875</v>
      </c>
      <c r="B2" s="12" t="s">
        <v>600</v>
      </c>
      <c r="C2" s="14">
        <v>46286</v>
      </c>
      <c r="D2" s="14">
        <v>46286</v>
      </c>
      <c r="E2" s="12"/>
      <c r="F2" s="15" t="s">
        <v>601</v>
      </c>
      <c r="G2" s="15" t="s">
        <v>602</v>
      </c>
      <c r="H2" s="15" t="s">
        <v>603</v>
      </c>
      <c r="I2" s="16">
        <v>1031.27</v>
      </c>
      <c r="J2" s="15" t="s">
        <v>604</v>
      </c>
      <c r="K2" s="15" t="s">
        <v>605</v>
      </c>
      <c r="L2" s="15" t="s">
        <v>606</v>
      </c>
      <c r="M2" s="15">
        <v>227.69</v>
      </c>
      <c r="N2" s="15">
        <v>5</v>
      </c>
      <c r="O2" s="16">
        <v>99.4</v>
      </c>
      <c r="P2" s="15" t="s">
        <v>607</v>
      </c>
      <c r="Q2" s="15">
        <v>7.8</v>
      </c>
      <c r="R2" s="15" t="s">
        <v>608</v>
      </c>
      <c r="S2" s="15">
        <v>104.63</v>
      </c>
      <c r="T2" s="15" t="s">
        <v>609</v>
      </c>
      <c r="U2" s="15">
        <v>0</v>
      </c>
      <c r="V2" s="15">
        <v>27.32</v>
      </c>
      <c r="W2" s="15">
        <v>0</v>
      </c>
      <c r="X2" s="15">
        <v>0</v>
      </c>
      <c r="Y2" s="15">
        <v>0.52</v>
      </c>
      <c r="Z2" s="15">
        <v>0</v>
      </c>
      <c r="AA2" s="15">
        <v>535.4</v>
      </c>
      <c r="AB2" s="15">
        <v>-307.70999999999998</v>
      </c>
      <c r="AC2" s="15">
        <v>59.2</v>
      </c>
      <c r="AD2" s="15">
        <v>-366.91</v>
      </c>
      <c r="AE2" s="15">
        <v>0</v>
      </c>
      <c r="AF2" s="15">
        <v>-366.91</v>
      </c>
      <c r="AG2" s="17">
        <v>-1.6113999999999999</v>
      </c>
      <c r="AH2" s="15"/>
    </row>
    <row r="3" spans="1:34" s="1" customFormat="1" ht="12" customHeight="1" x14ac:dyDescent="0.3">
      <c r="A3" s="13">
        <v>302020</v>
      </c>
      <c r="B3" s="12" t="s">
        <v>600</v>
      </c>
      <c r="C3" s="14">
        <v>46286</v>
      </c>
      <c r="D3" s="14">
        <v>46286</v>
      </c>
      <c r="E3" s="12"/>
      <c r="F3" s="15" t="s">
        <v>610</v>
      </c>
      <c r="G3" s="15" t="s">
        <v>611</v>
      </c>
      <c r="H3" s="15" t="s">
        <v>612</v>
      </c>
      <c r="I3" s="16">
        <v>8277.44</v>
      </c>
      <c r="J3" s="15" t="s">
        <v>613</v>
      </c>
      <c r="K3" s="15" t="s">
        <v>605</v>
      </c>
      <c r="L3" s="15" t="s">
        <v>614</v>
      </c>
      <c r="M3" s="16">
        <v>3858.56</v>
      </c>
      <c r="N3" s="15">
        <v>1</v>
      </c>
      <c r="O3" s="16">
        <v>529.5</v>
      </c>
      <c r="P3" s="15" t="s">
        <v>615</v>
      </c>
      <c r="Q3" s="15">
        <v>0</v>
      </c>
      <c r="R3" s="15" t="s">
        <v>615</v>
      </c>
      <c r="S3" s="15">
        <v>0</v>
      </c>
      <c r="T3" s="15" t="s">
        <v>609</v>
      </c>
      <c r="U3" s="15">
        <v>0</v>
      </c>
      <c r="V3" s="15">
        <v>0</v>
      </c>
      <c r="W3" s="15">
        <v>0</v>
      </c>
      <c r="X3" s="15">
        <v>0</v>
      </c>
      <c r="Y3" s="15">
        <v>4.1399999999999997</v>
      </c>
      <c r="Z3" s="15">
        <v>0</v>
      </c>
      <c r="AA3" s="16">
        <v>2109.0100000000002</v>
      </c>
      <c r="AB3" s="16">
        <v>1749.55</v>
      </c>
      <c r="AC3" s="15">
        <v>1003.23</v>
      </c>
      <c r="AD3" s="15">
        <v>746.32</v>
      </c>
      <c r="AE3" s="15">
        <v>0</v>
      </c>
      <c r="AF3" s="15">
        <v>746.32</v>
      </c>
      <c r="AG3" s="17">
        <v>0.19339999999999999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4086.25</v>
      </c>
      <c r="F3" s="93"/>
      <c r="G3" s="94"/>
      <c r="H3" s="95">
        <f>'Resumo Detalhado'!C2</f>
        <v>628.9</v>
      </c>
      <c r="I3" s="96"/>
      <c r="J3" s="97">
        <f>E3/H3</f>
        <v>6.4974558753378915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0.52408333333333335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2507.8000000000002</v>
      </c>
      <c r="F7" s="109"/>
      <c r="G7" s="109"/>
      <c r="H7" s="109"/>
      <c r="I7" s="109"/>
      <c r="J7" s="109">
        <f>E7/H3</f>
        <v>3.9875973922722219</v>
      </c>
      <c r="K7" s="109"/>
      <c r="L7" s="109"/>
      <c r="M7" s="110">
        <f>E7/E3</f>
        <v>0.61371673294585505</v>
      </c>
      <c r="N7" s="110"/>
      <c r="O7" s="110"/>
      <c r="P7" s="109">
        <f>E11+K11+Q11+E15+K15+Q15+E19+H19+K19</f>
        <v>3520.48</v>
      </c>
      <c r="Q7" s="109"/>
      <c r="R7" s="109"/>
      <c r="S7" s="109">
        <f>P7/H3</f>
        <v>5.5978374940372078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2500</v>
      </c>
      <c r="L11" s="94"/>
      <c r="M11" s="38"/>
      <c r="N11" s="92">
        <f>K11/H3</f>
        <v>3.9751947845444429</v>
      </c>
      <c r="O11" s="94"/>
      <c r="P11" s="38"/>
      <c r="Q11" s="92">
        <f>'Resumo Detalhado'!D2</f>
        <v>7.8</v>
      </c>
      <c r="R11" s="94"/>
      <c r="S11" s="38"/>
      <c r="T11" s="92">
        <f>Q11/H3</f>
        <v>1.2402607727778662E-2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27.32</v>
      </c>
      <c r="F15" s="113"/>
      <c r="G15" s="113"/>
      <c r="H15" s="113"/>
      <c r="I15" s="114"/>
      <c r="J15" s="38"/>
      <c r="K15" s="116">
        <f>'Resumo Detalhado'!K2+'Resumo Detalhado'!L2</f>
        <v>653.79999999999995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4.66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326.89999999999998</v>
      </c>
      <c r="L19" s="108"/>
      <c r="M19" s="38"/>
      <c r="N19" s="112" t="s">
        <v>599</v>
      </c>
      <c r="O19" s="113"/>
      <c r="P19" s="113"/>
      <c r="Q19" s="113"/>
      <c r="R19" s="119"/>
      <c r="S19" s="112">
        <f>_xlfn.XLOOKUP(N19,Target!C:C,Target!D:D)</f>
        <v>2500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3614.94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0.88465952890792288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616</v>
      </c>
      <c r="F1" s="29"/>
    </row>
    <row r="2" spans="1:18" x14ac:dyDescent="0.3">
      <c r="B2" s="29">
        <f>SUM(B6:B5000)</f>
        <v>4086.25</v>
      </c>
      <c r="C2" s="29">
        <f>SUM(C6:C5000)</f>
        <v>628.9</v>
      </c>
      <c r="D2" s="29">
        <f>SUM(D6:D5000)</f>
        <v>7.8</v>
      </c>
      <c r="E2" s="29">
        <f>SUM(E6:E5000)</f>
        <v>104.63</v>
      </c>
      <c r="F2" s="29">
        <f>SUM(F6:F5000)</f>
        <v>0</v>
      </c>
      <c r="G2" s="29"/>
      <c r="H2" s="29">
        <f t="shared" ref="H2:P2" si="0">SUM(H6:H5000)</f>
        <v>27.32</v>
      </c>
      <c r="I2" s="29">
        <f t="shared" si="0"/>
        <v>4.66</v>
      </c>
      <c r="J2" s="29">
        <f t="shared" si="0"/>
        <v>0</v>
      </c>
      <c r="K2" s="29">
        <f t="shared" si="0"/>
        <v>326.89999999999998</v>
      </c>
      <c r="L2" s="29">
        <f t="shared" si="0"/>
        <v>326.89999999999998</v>
      </c>
      <c r="M2" s="29">
        <f t="shared" si="0"/>
        <v>0</v>
      </c>
      <c r="N2" s="29">
        <f t="shared" si="0"/>
        <v>3614.94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302020</v>
      </c>
      <c r="B6" s="140">
        <v>3858.56</v>
      </c>
      <c r="C6" s="141">
        <v>529.5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4.1399999999999997</v>
      </c>
      <c r="J6" s="140">
        <v>0</v>
      </c>
      <c r="K6" s="140">
        <v>308.6848</v>
      </c>
      <c r="L6" s="140">
        <v>308.6848</v>
      </c>
      <c r="M6" s="140">
        <v>0</v>
      </c>
      <c r="N6" s="140">
        <v>3545.7352000000001</v>
      </c>
      <c r="O6" s="142">
        <v>0.91892706087244991</v>
      </c>
      <c r="Q6"/>
    </row>
    <row r="7" spans="1:18" s="31" customFormat="1" x14ac:dyDescent="0.3">
      <c r="A7" s="139" t="s">
        <v>602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301875</v>
      </c>
      <c r="B8" s="140">
        <v>227.69</v>
      </c>
      <c r="C8" s="141">
        <v>99.4</v>
      </c>
      <c r="D8" s="140">
        <v>7.8</v>
      </c>
      <c r="E8" s="140">
        <v>104.63</v>
      </c>
      <c r="F8" s="140">
        <v>0</v>
      </c>
      <c r="G8" s="142">
        <v>0.49378540998726334</v>
      </c>
      <c r="H8" s="140">
        <v>27.32</v>
      </c>
      <c r="I8" s="140">
        <v>0.52</v>
      </c>
      <c r="J8" s="140">
        <v>0</v>
      </c>
      <c r="K8" s="140">
        <v>18.215199999999999</v>
      </c>
      <c r="L8" s="140">
        <v>18.215199999999999</v>
      </c>
      <c r="M8" s="140">
        <v>0</v>
      </c>
      <c r="N8" s="140">
        <v>69.204800000000006</v>
      </c>
      <c r="O8" s="142">
        <v>0.30394308050419433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616</v>
      </c>
    </row>
    <row r="2" spans="1:4" x14ac:dyDescent="0.3">
      <c r="B2" s="29">
        <f>SUM(B6:B5000)</f>
        <v>227.69</v>
      </c>
      <c r="C2" s="29">
        <f>SUM(C6:C5000)</f>
        <v>69.204800000000006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611</v>
      </c>
      <c r="B5" s="10">
        <v>3858.56</v>
      </c>
      <c r="C5" s="10">
        <v>3545.7352000000001</v>
      </c>
    </row>
    <row r="6" spans="1:4" x14ac:dyDescent="0.3">
      <c r="A6" s="139" t="s">
        <v>602</v>
      </c>
      <c r="B6" s="140">
        <v>227.69</v>
      </c>
      <c r="C6" s="140">
        <v>69.204800000000006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1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2026-09-24T13:21:05Z</dcterms:modified>
  <cp:category/>
  <cp:contentStatus/>
</cp:coreProperties>
</file>