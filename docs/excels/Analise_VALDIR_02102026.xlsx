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C19771B-04D8-4A88-A84A-4A581A5E526F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<sst xmlns="http://schemas.openxmlformats.org/spreadsheetml/2006/main" count="915" uniqueCount="635">
  <si>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</si>
  <si>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</si>
  <si>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</si>
  <si>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</si>
  <si>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</si>
  <si>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</si>
  <si>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</si>
  <si>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</si>
  <si>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</si>
  <si>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</si>
  <si>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</si>
  <si>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</si>
  <si>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</si>
  <si>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</si>
  <si>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</si>
  <si>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</si>
  <si>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</si>
  <si>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</si>
  <si>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</si>
  <si>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</si>
  <si>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</si>
  <si>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</si>
  <si>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</si>
  <si>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</si>
  <si>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</si>
  <si>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</si>
  <si>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</si>
  <si>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</si>
  <si>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</si>
  <si>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</si>
  <si>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</si>
  <si>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</si>
  <si>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</si>
  <si>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</si>
  <si>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</si>
  <si>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</si>
  <si>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</si>
  <si>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</si>
  <si>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</si>
  <si>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</si>
  <si>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</si>
  <si>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</si>
  <si>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</si>
  <si>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</si>
  <si>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</si>
  <si>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</si>
  <si>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</si>
  <si>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</si>
  <si>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</si>
  <si>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</si>
  <si>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</si>
  <si>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</si>
  <si>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</si>
  <si>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</si>
  <si>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</si>
  <si>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</si>
  <si>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</si>
  <si>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</si>
  <si>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</si>
  <si>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</si>
  <si>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</si>
  <si>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</si>
  <si>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</si>
  <si>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</si>
  <si>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</si>
  <si>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</si>
  <si>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</si>
  <si>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</si>
  <si>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</si>
  <si>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</si>
  <si>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</si>
  <si>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</si>
  <si>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</si>
  <si>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</si>
  <si>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</si>
  <si>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</si>
  <si>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</si>
  <si>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</si>
  <si>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</si>
  <si>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</si>
  <si>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</si>
  <si>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</si>
  <si>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</si>
  <si>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</si>
  <si>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</si>
  <si>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</si>
  <si>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</si>
  <si>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</si>
  <si>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</si>
  <si>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</si>
  <si>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</si>
  <si>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</si>
  <si>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</si>
  <si>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</si>
  <si>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</si>
  <si>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</si>
  <si>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</si>
  <si>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</si>
  <si>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</si>
  <si>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</si>
  <si>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</si>
  <si>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</si>
  <si>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</si>
  <si>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</si>
  <si>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</si>
  <si>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</si>
  <si>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</si>
  <si>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</si>
  <si>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</si>
  <si>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</si>
  <si>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</si>
  <si>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</si>
  <si>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</si>
  <si>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</si>
  <si>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</si>
  <si>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</si>
  <si>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</si>
  <si>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</si>
  <si>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</si>
  <si>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</si>
  <si>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</si>
  <si>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</si>
  <si>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</si>
  <si>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</si>
  <si>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</si>
  <si>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</si>
  <si>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</si>
  <si>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</si>
  <si>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</si>
  <si>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</si>
  <si>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</si>
  <si>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</si>
  <si>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</si>
  <si>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</si>
  <si>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</si>
  <si>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</si>
  <si>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</si>
  <si>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</si>
  <si>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</si>
  <si>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</si>
  <si>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</si>
  <si>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</si>
  <si>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</si>
  <si>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</si>
  <si>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</si>
  <si>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</si>
  <si>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</si>
  <si>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</si>
  <si>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</si>
  <si>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</si>
  <si>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</si>
  <si>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</si>
  <si>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</si>
  <si>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</si>
  <si>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</si>
  <si>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</si>
  <si>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</si>
  <si>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</si>
  <si>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</si>
  <si>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</si>
  <si>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</si>
  <si>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</si>
  <si>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</si>
  <si>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</si>
  <si>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</si>
  <si>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</si>
  <si>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</si>
  <si>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</si>
  <si>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</si>
  <si>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</si>
  <si>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</si>
  <si>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</si>
  <si>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</si>
  <si>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</si>
  <si>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</si>
  <si>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</si>
  <si>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</si>
  <si>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</si>
  <si>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</si>
  <si>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</si>
  <si>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</si>
  <si>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</si>
  <si>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</si>
  <si>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</si>
  <si>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</si>
  <si>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</si>
  <si>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</si>
  <si>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</si>
  <si>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</si>
  <si>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</si>
  <si>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</si>
  <si>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</si>
  <si>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</si>
  <si>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</si>
  <si>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</si>
  <si>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</si>
  <si>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</si>
  <si>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</si>
  <si>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</si>
  <si>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</si>
  <si>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</si>
  <si>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</si>
  <si>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</si>
  <si>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</si>
  <si>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</si>
  <si>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</si>
  <si>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</si>
  <si>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</si>
  <si>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</si>
  <si>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</si>
  <si>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</si>
  <si>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</si>
  <si>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</si>
  <si>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</si>
  <si>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</si>
  <si>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</si>
  <si>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</si>
  <si>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</si>
  <si>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</si>
  <si>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</si>
  <si>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</si>
  <si>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</si>
  <si>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</si>
  <si>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</si>
  <si>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</si>
  <si>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</si>
  <si>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</si>
  <si>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</si>
  <si>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</si>
  <si>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</si>
  <si>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</si>
  <si>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</si>
  <si>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</si>
  <si>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</si>
  <si>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</si>
  <si>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</si>
  <si>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</si>
  <si>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</si>
  <si>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</si>
  <si>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</si>
  <si>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</si>
  <si>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</si>
  <si>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</si>
  <si>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</si>
  <si>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</si>
  <si>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</si>
  <si>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</si>
  <si>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</si>
  <si>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</si>
  <si>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</si>
  <si>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</si>
  <si>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</si>
  <si>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</si>
  <si>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</si>
  <si>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</si>
  <si>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</si>
  <si>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</si>
  <si>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</si>
  <si>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</si>
  <si>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</si>
  <si>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</si>
  <si>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</si>
  <si>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</si>
  <si>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</si>
  <si>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</si>
  <si>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</si>
  <si>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</si>
  <si>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</si>
  <si>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</si>
  <si>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</si>
  <si>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</si>
  <si>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</si>
  <si>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</si>
  <si>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</si>
  <si>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</si>
  <si>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</si>
  <si>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</si>
  <si>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</si>
  <si>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</si>
  <si>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</si>
  <si>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</si>
  <si>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</si>
  <si>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</si>
  <si>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</si>
  <si>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</si>
  <si>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</si>
  <si>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</si>
  <si>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</si>
  <si>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</si>
  <si>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</si>
  <si>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</si>
  <si>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</si>
  <si>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</si>
  <si>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</si>
  <si>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</si>
  <si>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</si>
  <si>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</si>
  <si>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</si>
  <si>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</si>
  <si>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</si>
  <si>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</si>
  <si>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</si>
  <si>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</si>
  <si>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</si>
  <si>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</si>
  <si>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</si>
  <si>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</si>
  <si>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</si>
  <si>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</si>
  <si>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</si>
  <si>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</si>
  <si>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</si>
  <si>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</si>
  <si>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</si>
  <si>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</si>
  <si>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</si>
  <si>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</si>
  <si>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</si>
  <si>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</si>
  <si>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</si>
  <si>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</si>
  <si>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</si>
  <si>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</si>
  <si>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</si>
  <si>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</si>
  <si>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</si>
  <si>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</si>
  <si>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</si>
  <si>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</si>
  <si>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</si>
  <si>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</si>
  <si>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</si>
  <si>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</si>
  <si>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</si>
  <si>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</si>
  <si>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</si>
  <si>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</si>
  <si>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</si>
  <si>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</si>
  <si>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</si>
  <si>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</si>
  <si>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</si>
  <si>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</si>
  <si>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</si>
  <si>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</si>
  <si>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</si>
  <si>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</si>
  <si>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</si>
  <si>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</si>
  <si>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</si>
  <si>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</si>
  <si>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</si>
  <si>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</si>
  <si>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</si>
  <si>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</si>
  <si>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</si>
  <si>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</si>
  <si>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</si>
  <si>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</si>
  <si>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</si>
  <si>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</si>
  <si>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</si>
  <si>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</si>
  <si>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</si>
  <si>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</si>
  <si>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</si>
  <si>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</si>
  <si>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</si>
  <si>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</si>
  <si>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</si>
  <si>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</si>
  <si>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</si>
  <si>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</si>
  <si>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</si>
  <si>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</si>
  <si>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</si>
  <si>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</si>
  <si>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</si>
  <si>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</si>
  <si>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</si>
  <si>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</si>
  <si>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</si>
  <si>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</si>
  <si>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</si>
  <si>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</si>
  <si>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</si>
  <si>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</si>
  <si>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</si>
  <si>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</si>
  <si>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</si>
  <si>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</si>
  <si>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</si>
  <si>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</si>
  <si>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</si>
  <si>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</si>
  <si>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</si>
  <si>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</si>
  <si>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</si>
  <si>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</si>
  <si>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</si>
  <si>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</si>
  <si>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</si>
  <si>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</si>
  <si>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</si>
  <si>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</si>
  <si>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</si>
  <si>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</si>
  <si>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</si>
  <si>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</si>
  <si>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</si>
  <si>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</si>
  <si>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</si>
  <si>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</si>
  <si>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</si>
  <si>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</si>
  <si>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</si>
  <si>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</si>
  <si>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</si>
  <si>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</si>
  <si>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</si>
  <si>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</si>
  <si>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</si>
  <si>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</si>
  <si>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</si>
  <si>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</si>
  <si>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</si>
  <si>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</si>
  <si>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</si>
  <si>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</si>
  <si>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</si>
  <si>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</si>
  <si>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</si>
  <si>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</si>
  <si>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</si>
  <si>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</si>
  <si>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</si>
  <si>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</si>
  <si>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</si>
  <si>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</si>
  <si>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</si>
  <si>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</si>
  <si>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</si>
  <si>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</si>
  <si>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</si>
  <si>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</si>
  <si>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</si>
  <si>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</si>
  <si>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</si>
  <si>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</si>
  <si>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</si>
  <si>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</si>
  <si>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</si>
  <si>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</si>
  <si>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</si>
  <si>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</si>
  <si>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</si>
  <si>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</si>
  <si>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</si>
  <si>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</si>
  <si>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</si>
  <si>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</si>
  <si>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</si>
  <si>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</si>
  <si>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</si>
  <si>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</si>
  <si>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</si>
  <si>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</si>
  <si>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</si>
  <si>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</si>
  <si>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</si>
  <si>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</si>
  <si>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</si>
  <si>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</si>
  <si>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</si>
  <si>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</si>
  <si>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</si>
  <si>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</si>
  <si>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</si>
  <si>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</si>
  <si>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</si>
  <si>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</si>
  <si>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</si>
  <si>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</si>
  <si>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</si>
  <si>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</si>
  <si>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</si>
  <si>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</si>
  <si>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</si>
  <si>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</si>
  <si>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</si>
  <si>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</si>
  <si>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</si>
  <si>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</si>
  <si>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</si>
  <si>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</si>
  <si>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</si>
  <si>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</si>
  <si>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</si>
  <si>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</si>
  <si>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</si>
  <si>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</si>
  <si>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</si>
  <si>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</si>
  <si>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</si>
  <si>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</si>
  <si>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</si>
  <si>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</si>
  <si>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</si>
  <si>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</si>
  <si>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</si>
  <si>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</si>
  <si>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</si>
  <si>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</si>
  <si>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</si>
  <si>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</si>
  <si>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</si>
  <si>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</si>
  <si>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</si>
  <si>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</si>
  <si>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</si>
  <si>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</si>
  <si>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</si>
  <si>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</si>
  <si>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</si>
  <si>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</si>
  <si>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</si>
  <si>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</si>
  <si>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</si>
  <si>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</si>
  <si>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</si>
  <si>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</si>
  <si>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</si>
  <si>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</si>
  <si>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</si>
  <si>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</si>
  <si>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</si>
  <si>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</si>
  <si>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</si>
  <si>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</si>
  <si>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</si>
  <si>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</si>
  <si>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</si>
  <si>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</si>
  <si>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</si>
  <si>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</si>
  <si>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</si>
  <si>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</si>
  <si>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</si>
  <si>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</si>
  <si>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</si>
  <si>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</si>
  <si>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</si>
  <si>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</si>
  <si>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</si>
  <si>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</si>
  <si>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</si>
  <si>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</si>
  <si>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</si>
  <si>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</si>
  <si>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</si>
  <si>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</si>
  <si>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</si>
  <si>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</si>
  <si>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</si>
  <si>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</si>
  <si>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</si>
  <si>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</si>
  <si>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</si>
  <si>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</si>
  <si>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</si>
  <si>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</si>
  <si>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</si>
  <si>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</si>
  <si>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</si>
  <si>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</si>
  <si>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</si>
  <si>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</si>
  <si>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</si>
  <si>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</si>
  <si>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</si>
  <si>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</si>
  <si>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</si>
  <si>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</si>
  <si>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</si>
  <si>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</si>
  <si>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</si>
  <si>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</si>
  <si>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</si>
  <si>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</si>
  <si>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</si>
  <si>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</si>
  <si>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</si>
  <si>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</si>
  <si>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</si>
  <si>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</si>
  <si>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</si>
  <si>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</si>
  <si>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</si>
  <si>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</si>
  <si>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</si>
  <si>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</si>
  <si>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</si>
  <si>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</si>
  <si>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</si>
  <si>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</si>
  <si>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</si>
  <si>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</si>
  <si>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</si>
  <si>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</si>
  <si>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</si>
  <si>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</si>
  <si>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</si>
  <si>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</si>
  <si>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</si>
  <si>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</si>
  <si>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</si>
  <si>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FILIAL SP</t>
  </si>
  <si>
    <t>38239-1</t>
  </si>
  <si>
    <t>IMAGINE DECOR I</t>
  </si>
  <si>
    <t>MARCELO HOPPE</t>
  </si>
  <si>
    <t>ECONOMICO_250</t>
  </si>
  <si>
    <t>CTE NORMAL</t>
  </si>
  <si>
    <t>SAO PAULO - SP</t>
  </si>
  <si>
    <t>JOSENIR DE SOUZA CUNHA</t>
  </si>
  <si>
    <t>EDSON SANTOS DA SILVA</t>
  </si>
  <si>
    <t>MARCIO FELIPE CUSTODIO</t>
  </si>
  <si>
    <t>MATRIZ</t>
  </si>
  <si>
    <t>204259-1</t>
  </si>
  <si>
    <t>SEGER COMERCIAL</t>
  </si>
  <si>
    <t>MAURO MARQUES</t>
  </si>
  <si>
    <t>PERSONALIZADO</t>
  </si>
  <si>
    <t>RONDONOPOLIS - MT</t>
  </si>
  <si>
    <t>N/D</t>
  </si>
  <si>
    <t>Itajai-Sc X Rondonopolis-Mtvan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</si>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</sst>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[Analise_VALDIR_02102026.xlsx]Resumo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IMAGINE DECOR I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135.16</c:v>
                </c:pt>
                <c:pt idx="1">
                  <c:v>13900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IMAGINE DECOR I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52.487200000000001</c:v>
                </c:pt>
                <c:pt idx="1">
                  <c:v>11457.53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[Analise_VALDIR_02102026.xlsx]Resumo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IMAGINE DECOR I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135.16</c:v>
                </c:pt>
                <c:pt idx="1">
                  <c:v>13900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IMAGINE DECOR I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52.487200000000001</c:v>
                </c:pt>
                <c:pt idx="1">
                  <c:v>11457.53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56956018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3987" count="8000">
        <n v="303744"/>
        <n v="30398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09-30T00:00:00"/>
    </cacheField>
    <cacheField name="DATA" numFmtId="14">
      <sharedItems containsNonDate="0" containsDate="1" containsString="0" containsBlank="1" minDate="2026-09-30T00:00:00" maxDate="2026-10-03T00:00:00"/>
    </cacheField>
    <cacheField name="FAT" numFmtId="0">
      <sharedItems containsString="0" containsBlank="1" containsNumber="1" containsInteger="1" minValue="66229" maxValue="66229"/>
    </cacheField>
    <cacheField name="CT-E" numFmtId="0">
      <sharedItems containsBlank="1"/>
    </cacheField>
    <cacheField name="CLIENTE TOMADOR" numFmtId="0">
      <sharedItems containsBlank="1" count="856">
        <s v="IMAGINE DECOR I"/>
        <s v="SEGER COMERCIA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884.25" maxValue="714947.84"/>
    </cacheField>
    <cacheField name="SERVICO" numFmtId="0">
      <sharedItems containsBlank="1" count="27">
        <s v="ECONOMICO_250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35.16" maxValue="13900"/>
    </cacheField>
    <cacheField name="VOLUMES" numFmtId="0">
      <sharedItems containsString="0" containsBlank="1" containsNumber="1" containsInteger="1" minValue="2" maxValue="32"/>
    </cacheField>
    <cacheField name="PESO" numFmtId="0">
      <sharedItems containsString="0" containsBlank="1" containsNumber="1" minValue="81.900000000000006" maxValue="587.14"/>
    </cacheField>
    <cacheField name="RESP. COLETA" numFmtId="0">
      <sharedItems containsBlank="1"/>
    </cacheField>
    <cacheField name="CUSTO COLETA" numFmtId="0">
      <sharedItems containsString="0" containsBlank="1" containsNumber="1" minValue="0" maxValue="12.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6.22" maxValue="97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94" maxValue="357.4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18.59" maxValue="6683.74"/>
    </cacheField>
    <cacheField name="RECEITA" numFmtId="0">
      <sharedItems containsString="0" containsBlank="1" containsNumber="1" minValue="-683.43" maxValue="7216.26"/>
    </cacheField>
    <cacheField name="IMPOSTO" numFmtId="0">
      <sharedItems containsString="0" containsBlank="1" containsNumber="1" minValue="35.14" maxValue="3614"/>
    </cacheField>
    <cacheField name="RESULTADO" numFmtId="0">
      <sharedItems containsString="0" containsBlank="1" containsNumber="1" minValue="-718.57" maxValue="3602.2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718.57" maxValue="3602.26"/>
    </cacheField>
    <cacheField name="MARGEM" numFmtId="10">
      <sharedItems containsString="0" containsBlank="1" containsNumber="1" minValue="-5.3163999999999998" maxValue="0.2592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9-29T00:00:00"/>
    <d v="2026-09-30T00:00:00"/>
    <n v="66229"/>
    <s v="38239-1"/>
    <x v="0"/>
    <s v="MARCELO HOPPE"/>
    <n v="5884.25"/>
    <x v="0"/>
    <s v="CTE NORMAL"/>
    <s v="SAO PAULO - SP"/>
    <n v="135.16"/>
    <n v="2"/>
    <n v="81.900000000000006"/>
    <s v="JOSENIR DE SOUZA CUNHA"/>
    <n v="12.7"/>
    <s v="EDSON SANTOS DA SILVA"/>
    <n v="40"/>
    <s v="MARCIO FELIPE CUSTODIO"/>
    <n v="0"/>
    <n v="16.22"/>
    <n v="0"/>
    <n v="0"/>
    <n v="2.94"/>
    <n v="0"/>
    <n v="818.59"/>
    <n v="-683.43"/>
    <n v="35.14"/>
    <n v="-718.57"/>
    <n v="0"/>
    <n v="-718.57"/>
    <n v="-5.3163999999999998"/>
    <m/>
  </r>
  <r>
    <x v="1"/>
    <s v="MATRIZ"/>
    <m/>
    <d v="2026-10-02T00:00:00"/>
    <m/>
    <s v="204259-1"/>
    <x v="1"/>
    <s v="MAURO MARQUES"/>
    <n v="714947.84"/>
    <x v="1"/>
    <s v="CTE NORMAL"/>
    <s v="RONDONOPOLIS - MT"/>
    <n v="13900"/>
    <n v="32"/>
    <n v="587.14"/>
    <s v="N/D"/>
    <n v="0"/>
    <s v="N/D"/>
    <n v="0"/>
    <s v="MARCIO FELIPE CUSTODIO"/>
    <n v="0"/>
    <n v="973"/>
    <n v="0"/>
    <n v="0"/>
    <n v="357.47"/>
    <n v="0"/>
    <n v="6683.74"/>
    <n v="7216.26"/>
    <n v="3614"/>
    <n v="3602.26"/>
    <n v="0"/>
    <n v="3602.26"/>
    <n v="0.25920000000000004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2"/>
        <item m="1" x="506"/>
        <item sd="0" m="1" x="554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0"/>
        <item m="1" x="846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1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5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9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x="0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8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7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1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x="1"/>
        <item m="1" x="396"/>
        <item m="1" x="671"/>
        <item m="1" x="186"/>
        <item sd="0" m="1" x="410"/>
        <item m="1" x="475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9"/>
        <item m="1" x="817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52"/>
    </i>
    <i r="1">
      <x v="7998"/>
    </i>
    <i>
      <x v="694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2"/>
        <item m="1" x="506"/>
        <item sd="0" m="1" x="554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0"/>
        <item m="1" x="846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1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5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9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x="0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8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7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1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x="1"/>
        <item m="1" x="396"/>
        <item m="1" x="671"/>
        <item m="1" x="186"/>
        <item sd="0" m="1" x="410"/>
        <item m="1" x="475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9"/>
        <item m="1" x="817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52"/>
    </i>
    <i>
      <x v="694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9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80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70" s="1" nd="1"/>
        <i x="45" s="1" nd="1"/>
        <i x="731" s="1" nd="1"/>
        <i x="690" s="1" nd="1"/>
        <i x="217" s="1" nd="1"/>
        <i x="477" s="1" nd="1"/>
        <i x="634" s="1" nd="1"/>
        <i x="447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2" s="1" nd="1"/>
        <i x="506" s="1" nd="1"/>
        <i x="554" s="1" nd="1"/>
        <i x="478" s="1" nd="1"/>
        <i x="245" s="1" nd="1"/>
        <i x="849" s="1" nd="1"/>
        <i x="833" s="1" nd="1"/>
        <i x="743" s="1" nd="1"/>
        <i x="241" s="1" nd="1"/>
        <i x="240" s="1" nd="1"/>
        <i x="463" s="1" nd="1"/>
        <i x="287" s="1" nd="1"/>
        <i x="550" s="1" nd="1"/>
        <i x="846" s="1" nd="1"/>
        <i x="446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4" s="1" nd="1"/>
        <i x="409" s="1" nd="1"/>
        <i x="516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9" s="1" nd="1"/>
        <i x="208" s="1" nd="1"/>
        <i x="522" s="1" nd="1"/>
        <i x="464" s="1" nd="1"/>
        <i x="139" s="1" nd="1"/>
        <i x="662" s="1" nd="1"/>
        <i x="373" s="1" nd="1"/>
        <i x="155" s="1" nd="1"/>
        <i x="252" s="1" nd="1"/>
        <i x="629" s="1" nd="1"/>
        <i x="737" s="1" nd="1"/>
        <i x="422" s="1" nd="1"/>
        <i x="81" s="1" nd="1"/>
        <i x="697" s="1" nd="1"/>
        <i x="285" s="1" nd="1"/>
        <i x="847" s="1" nd="1"/>
        <i x="249" s="1" nd="1"/>
        <i x="764" s="1" nd="1"/>
        <i x="426" s="1" nd="1"/>
        <i x="437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8" s="1" nd="1"/>
        <i x="854" s="1" nd="1"/>
        <i x="830" s="1" nd="1"/>
        <i x="107" s="1" nd="1"/>
        <i x="402" s="1" nd="1"/>
        <i x="115" s="1" nd="1"/>
        <i x="653" s="1" nd="1"/>
        <i x="657" s="1" nd="1"/>
        <i x="796" s="1" nd="1"/>
        <i x="696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1" s="1" nd="1"/>
        <i x="458" s="1" nd="1"/>
        <i x="479" s="1" nd="1"/>
        <i x="751" s="1" nd="1"/>
        <i x="639" s="1" nd="1"/>
        <i x="54" s="1" nd="1"/>
        <i x="794" s="1" nd="1"/>
        <i x="717" s="1" nd="1"/>
        <i x="418" s="1" nd="1"/>
        <i x="735" s="1" nd="1"/>
        <i x="814" s="1" nd="1"/>
        <i x="562" s="1" nd="1"/>
        <i x="559" s="1" nd="1"/>
        <i x="430" s="1" nd="1"/>
        <i x="715" s="1" nd="1"/>
        <i x="505" s="1" nd="1"/>
        <i x="174" s="1" nd="1"/>
        <i x="628" s="1" nd="1"/>
        <i x="376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9" s="1" nd="1"/>
        <i x="211" s="1" nd="1"/>
        <i x="440" s="1" nd="1"/>
        <i x="103" s="1" nd="1"/>
        <i x="197" s="1" nd="1"/>
        <i x="832" s="1" nd="1"/>
        <i x="765" s="1" nd="1"/>
        <i x="509" s="1" nd="1"/>
        <i x="822" s="1" nd="1"/>
        <i x="342" s="1" nd="1"/>
        <i x="224" s="1" nd="1"/>
        <i x="65" s="1" nd="1"/>
        <i x="636" s="1" nd="1"/>
        <i x="459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39" s="1" nd="1"/>
        <i x="209" s="1" nd="1"/>
        <i x="672" s="1" nd="1"/>
        <i x="487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803" s="1" nd="1"/>
        <i x="42" s="1" nd="1"/>
        <i x="806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1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6" s="1" nd="1"/>
        <i x="777" s="1" nd="1"/>
        <i x="145" s="1" nd="1"/>
        <i x="498" s="1" nd="1"/>
        <i x="468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3" s="1" nd="1"/>
        <i x="775" s="1" nd="1"/>
        <i x="486" s="1" nd="1"/>
        <i x="741" s="1" nd="1"/>
        <i x="455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1" s="1" nd="1"/>
        <i x="665" s="1" nd="1"/>
        <i x="494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6" s="1" nd="1"/>
        <i x="701" s="1" nd="1"/>
        <i x="429" s="1" nd="1"/>
        <i x="364" s="1" nd="1"/>
        <i x="101" s="1" nd="1"/>
        <i x="482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3" s="1" nd="1"/>
        <i x="800" s="1" nd="1"/>
        <i x="218" s="1" nd="1"/>
        <i x="828" s="1" nd="1"/>
        <i x="70" s="1" nd="1"/>
        <i x="119" s="1" nd="1"/>
        <i x="646" s="1" nd="1"/>
        <i x="412" s="1" nd="1"/>
        <i x="855" s="1" nd="1"/>
        <i x="433" s="1" nd="1"/>
        <i x="570" s="1" nd="1"/>
        <i x="489" s="1" nd="1"/>
        <i x="183" s="1" nd="1"/>
        <i x="375" s="1" nd="1"/>
        <i x="243" s="1" nd="1"/>
        <i x="338" s="1" nd="1"/>
        <i x="528" s="1" nd="1"/>
        <i x="424" s="1" nd="1"/>
        <i x="789" s="1" nd="1"/>
        <i x="302" s="1" nd="1"/>
        <i x="310" s="1" nd="1"/>
        <i x="368" s="1" nd="1"/>
        <i x="492" s="1" nd="1"/>
        <i x="663" s="1" nd="1"/>
        <i x="189" s="1" nd="1"/>
        <i x="660" s="1" nd="1"/>
        <i x="222" s="1" nd="1"/>
        <i x="450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2" s="1" nd="1"/>
        <i x="247" s="1" nd="1"/>
        <i x="399" s="1" nd="1"/>
        <i x="483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6" s="1" nd="1"/>
        <i x="507" s="1" nd="1"/>
        <i x="448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5" s="1" nd="1"/>
        <i x="499" s="1" nd="1"/>
        <i x="62" s="1" nd="1"/>
        <i x="457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6" s="1" nd="1"/>
        <i x="813" s="1" nd="1"/>
        <i x="465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3" s="1" nd="1"/>
        <i x="26" s="1" nd="1"/>
        <i x="343" s="1" nd="1"/>
        <i x="491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7" s="1" nd="1"/>
        <i x="707" s="1" nd="1"/>
        <i x="620" s="1" nd="1"/>
        <i x="732" s="1" nd="1"/>
        <i x="472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5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1" s="1" nd="1"/>
        <i x="396" s="1" nd="1"/>
        <i x="671" s="1" nd="1"/>
        <i x="186" s="1" nd="1"/>
        <i x="410" s="1" nd="1"/>
        <i x="475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2" s="1" nd="1"/>
        <i x="30" s="1" nd="1"/>
        <i x="571" s="1" nd="1"/>
        <i x="513" s="1" nd="1"/>
        <i x="414" s="1" nd="1"/>
        <i x="703" s="1" nd="1"/>
        <i x="205" s="1" nd="1"/>
        <i x="644" s="1" nd="1"/>
        <i x="780" s="1" nd="1"/>
        <i x="469" s="1" nd="1"/>
        <i x="41" s="1" nd="1"/>
        <i x="694" s="1" nd="1"/>
        <i x="664" s="1" nd="1"/>
        <i x="809" s="1" nd="1"/>
        <i x="817" s="1" nd="1"/>
        <i x="625" s="1" nd="1"/>
        <i x="460" s="1" nd="1"/>
        <i x="692" s="1" nd="1"/>
        <i x="135" s="1" nd="1"/>
        <i x="411" s="1" nd="1"/>
        <i x="693" s="1" nd="1"/>
        <i x="44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2" s="1" nd="1"/>
        <i x="514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90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3" s="1" nd="1"/>
        <i x="63" s="1" nd="1"/>
        <i x="569" s="1" nd="1"/>
        <i x="432" s="1" nd="1"/>
        <i x="427" s="1" nd="1"/>
        <i x="177" s="1" nd="1"/>
        <i x="367" s="1" nd="1"/>
        <i x="759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3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303744</v>
      </c>
      <c r="B2" s="12" t="s">
        <v>616</v>
      </c>
      <c r="C2" s="14">
        <v>46294</v>
      </c>
      <c r="D2" s="14">
        <v>46295</v>
      </c>
      <c r="E2" s="12">
        <v>66229</v>
      </c>
      <c r="F2" s="15" t="s">
        <v>617</v>
      </c>
      <c r="G2" s="15" t="s">
        <v>618</v>
      </c>
      <c r="H2" s="15" t="s">
        <v>619</v>
      </c>
      <c r="I2" s="16">
        <v>5884.25</v>
      </c>
      <c r="J2" s="15" t="s">
        <v>620</v>
      </c>
      <c r="K2" s="15" t="s">
        <v>621</v>
      </c>
      <c r="L2" s="15" t="s">
        <v>622</v>
      </c>
      <c r="M2" s="15">
        <v>135.16</v>
      </c>
      <c r="N2" s="15">
        <v>2</v>
      </c>
      <c r="O2" s="16">
        <v>81.900000000000006</v>
      </c>
      <c r="P2" s="15" t="s">
        <v>623</v>
      </c>
      <c r="Q2" s="15">
        <v>12.7</v>
      </c>
      <c r="R2" s="15" t="s">
        <v>624</v>
      </c>
      <c r="S2" s="15">
        <v>40</v>
      </c>
      <c r="T2" s="15" t="s">
        <v>625</v>
      </c>
      <c r="U2" s="15">
        <v>0</v>
      </c>
      <c r="V2" s="15">
        <v>16.22</v>
      </c>
      <c r="W2" s="15">
        <v>0</v>
      </c>
      <c r="X2" s="15">
        <v>0</v>
      </c>
      <c r="Y2" s="15">
        <v>2.94</v>
      </c>
      <c r="Z2" s="15">
        <v>0</v>
      </c>
      <c r="AA2" s="15">
        <v>818.59</v>
      </c>
      <c r="AB2" s="15">
        <v>-683.43</v>
      </c>
      <c r="AC2" s="15">
        <v>35.14</v>
      </c>
      <c r="AD2" s="15">
        <v>-718.57</v>
      </c>
      <c r="AE2" s="15">
        <v>0</v>
      </c>
      <c r="AF2" s="15">
        <v>-718.57</v>
      </c>
      <c r="AG2" s="17">
        <v>-5.3163999999999998</v>
      </c>
      <c r="AH2" s="15"/>
    </row>
    <row r="3" spans="1:34" s="1" customFormat="1" ht="12" customHeight="1" x14ac:dyDescent="0.3">
      <c r="A3" s="13">
        <v>303987</v>
      </c>
      <c r="B3" s="12" t="s">
        <v>626</v>
      </c>
      <c r="C3" s="14"/>
      <c r="D3" s="14">
        <v>46297</v>
      </c>
      <c r="E3" s="12"/>
      <c r="F3" s="15" t="s">
        <v>627</v>
      </c>
      <c r="G3" s="15" t="s">
        <v>628</v>
      </c>
      <c r="H3" s="15" t="s">
        <v>629</v>
      </c>
      <c r="I3" s="16">
        <v>714947.84</v>
      </c>
      <c r="J3" s="15" t="s">
        <v>630</v>
      </c>
      <c r="K3" s="15" t="s">
        <v>621</v>
      </c>
      <c r="L3" s="15" t="s">
        <v>631</v>
      </c>
      <c r="M3" s="16">
        <v>13900</v>
      </c>
      <c r="N3" s="15">
        <v>32</v>
      </c>
      <c r="O3" s="16">
        <v>587.14</v>
      </c>
      <c r="P3" s="15" t="s">
        <v>632</v>
      </c>
      <c r="Q3" s="15">
        <v>0</v>
      </c>
      <c r="R3" s="15" t="s">
        <v>632</v>
      </c>
      <c r="S3" s="15">
        <v>0</v>
      </c>
      <c r="T3" s="15" t="s">
        <v>625</v>
      </c>
      <c r="U3" s="15">
        <v>0</v>
      </c>
      <c r="V3" s="15">
        <v>973</v>
      </c>
      <c r="W3" s="15">
        <v>0</v>
      </c>
      <c r="X3" s="15">
        <v>0</v>
      </c>
      <c r="Y3" s="15">
        <v>357.47</v>
      </c>
      <c r="Z3" s="15">
        <v>0</v>
      </c>
      <c r="AA3" s="16">
        <v>6683.74</v>
      </c>
      <c r="AB3" s="16">
        <v>7216.26</v>
      </c>
      <c r="AC3" s="15">
        <v>3614</v>
      </c>
      <c r="AD3" s="15">
        <v>3602.26</v>
      </c>
      <c r="AE3" s="15">
        <v>0</v>
      </c>
      <c r="AF3" s="15">
        <v>3602.26</v>
      </c>
      <c r="AG3" s="17">
        <v>0.25920000000000004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14035.16</v>
      </c>
      <c r="F3" s="89"/>
      <c r="G3" s="90"/>
      <c r="H3" s="133">
        <f>'Resumo Detalhado'!C2</f>
        <v>669.04</v>
      </c>
      <c r="I3" s="134"/>
      <c r="J3" s="135">
        <f>E3/H3</f>
        <v>20.978058113117303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0.55753333333333333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6112.7</v>
      </c>
      <c r="F7" s="112"/>
      <c r="G7" s="112"/>
      <c r="H7" s="112"/>
      <c r="I7" s="112"/>
      <c r="J7" s="112">
        <f>E7/H3</f>
        <v>9.1365239746502453</v>
      </c>
      <c r="K7" s="112"/>
      <c r="L7" s="112"/>
      <c r="M7" s="130">
        <f>E7/E3</f>
        <v>0.43552763203269501</v>
      </c>
      <c r="N7" s="130"/>
      <c r="O7" s="130"/>
      <c r="P7" s="112">
        <f>E11+K11+Q11+E15+K15+Q15+E19+H19+K19</f>
        <v>10830.768399999999</v>
      </c>
      <c r="Q7" s="112"/>
      <c r="R7" s="112"/>
      <c r="S7" s="112">
        <f>P7/H3</f>
        <v>16.18852146358962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6100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6100</v>
      </c>
      <c r="L11" s="90"/>
      <c r="M11" s="38"/>
      <c r="N11" s="88">
        <f>K11/H3</f>
        <v>9.1175415520746146</v>
      </c>
      <c r="O11" s="90"/>
      <c r="P11" s="38"/>
      <c r="Q11" s="88">
        <f>'Resumo Detalhado'!D2</f>
        <v>12.7</v>
      </c>
      <c r="R11" s="90"/>
      <c r="S11" s="38"/>
      <c r="T11" s="88">
        <f>Q11/H3</f>
        <v>1.8982422575630754E-2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989.22</v>
      </c>
      <c r="F15" s="119"/>
      <c r="G15" s="119"/>
      <c r="H15" s="119"/>
      <c r="I15" s="132"/>
      <c r="J15" s="38"/>
      <c r="K15" s="113">
        <f>'Resumo Detalhado'!K2+'Resumo Detalhado'!L2</f>
        <v>2245.6255999999998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360.41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1122.8127999999999</v>
      </c>
      <c r="L19" s="123"/>
      <c r="M19" s="38"/>
      <c r="N19" s="121" t="s">
        <v>633</v>
      </c>
      <c r="O19" s="119"/>
      <c r="P19" s="119"/>
      <c r="Q19" s="119"/>
      <c r="R19" s="120"/>
      <c r="S19" s="121">
        <v>6300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11510.0172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0.82008450206481442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634</v>
      </c>
      <c r="F1" s="29"/>
    </row>
    <row r="2" spans="1:18" x14ac:dyDescent="0.3">
      <c r="B2" s="29">
        <f>SUM(B6:B5000)</f>
        <v>14035.16</v>
      </c>
      <c r="C2" s="29">
        <f>SUM(C6:C5000)</f>
        <v>669.04</v>
      </c>
      <c r="D2" s="29">
        <f>SUM(D6:D5000)</f>
        <v>12.7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989.22</v>
      </c>
      <c r="I2" s="29">
        <f t="shared" si="0"/>
        <v>360.41</v>
      </c>
      <c r="J2" s="29">
        <f t="shared" si="0"/>
        <v>0</v>
      </c>
      <c r="K2" s="29">
        <f t="shared" si="0"/>
        <v>1122.8127999999999</v>
      </c>
      <c r="L2" s="29">
        <f t="shared" si="0"/>
        <v>1122.8127999999999</v>
      </c>
      <c r="M2" s="29">
        <f t="shared" si="0"/>
        <v>0</v>
      </c>
      <c r="N2" s="29">
        <f t="shared" si="0"/>
        <v>11510.0172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303744</v>
      </c>
      <c r="B6" s="140">
        <v>135.16</v>
      </c>
      <c r="C6" s="141">
        <v>81.900000000000006</v>
      </c>
      <c r="D6" s="140">
        <v>12.7</v>
      </c>
      <c r="E6" s="140">
        <v>40</v>
      </c>
      <c r="F6" s="140">
        <v>0</v>
      </c>
      <c r="G6" s="142">
        <v>0.38990825688073399</v>
      </c>
      <c r="H6" s="140">
        <v>16.22</v>
      </c>
      <c r="I6" s="140">
        <v>2.94</v>
      </c>
      <c r="J6" s="140">
        <v>0</v>
      </c>
      <c r="K6" s="140">
        <v>10.812799999999999</v>
      </c>
      <c r="L6" s="140">
        <v>10.812799999999999</v>
      </c>
      <c r="M6" s="140">
        <v>0</v>
      </c>
      <c r="N6" s="140">
        <v>52.487200000000001</v>
      </c>
      <c r="O6" s="142">
        <v>0.38833382657591003</v>
      </c>
      <c r="Q6"/>
    </row>
    <row r="7" spans="1:18" s="31" customFormat="1" x14ac:dyDescent="0.3">
      <c r="A7" s="139" t="s">
        <v>628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303987</v>
      </c>
      <c r="B8" s="140">
        <v>13900</v>
      </c>
      <c r="C8" s="141">
        <v>587.14</v>
      </c>
      <c r="D8" s="140">
        <v>0</v>
      </c>
      <c r="E8" s="140">
        <v>0</v>
      </c>
      <c r="F8" s="140">
        <v>0</v>
      </c>
      <c r="G8" s="142">
        <v>0</v>
      </c>
      <c r="H8" s="140">
        <v>973</v>
      </c>
      <c r="I8" s="140">
        <v>357.47</v>
      </c>
      <c r="J8" s="140">
        <v>0</v>
      </c>
      <c r="K8" s="140">
        <v>1112</v>
      </c>
      <c r="L8" s="140">
        <v>1112</v>
      </c>
      <c r="M8" s="140">
        <v>0</v>
      </c>
      <c r="N8" s="140">
        <v>11457.53</v>
      </c>
      <c r="O8" s="142">
        <v>0.8242827338129497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66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634</v>
      </c>
    </row>
    <row r="2" spans="1:4" x14ac:dyDescent="0.3">
      <c r="B2" s="29">
        <f>SUM(B6:B5000)</f>
        <v>13900</v>
      </c>
      <c r="C2" s="29">
        <f>SUM(C6:C5000)</f>
        <v>11457.53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135.16</v>
      </c>
      <c r="C5" s="10">
        <v>52.487200000000001</v>
      </c>
    </row>
    <row r="6" spans="1:4" x14ac:dyDescent="0.3">
      <c r="A6" s="139" t="s">
        <v>628</v>
      </c>
      <c r="B6" s="140">
        <v>13900</v>
      </c>
      <c r="C6" s="140">
        <v>11457.53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633</v>
      </c>
      <c r="D395" s="87">
        <v>6300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2026-10-07T15:21:08Z</dcterms:modified>
  <cp:category/>
  <cp:contentStatus/>
</cp:coreProperties>
</file>