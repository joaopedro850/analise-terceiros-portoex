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EE26F51-673F-4C2A-98E7-C0B703988FD4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<sst xmlns="http://schemas.openxmlformats.org/spreadsheetml/2006/main" count="914" uniqueCount="634">
  <si>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</si>
  <si>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</si>
  <si>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</si>
  <si>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</si>
  <si>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</si>
  <si>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</si>
  <si>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</si>
  <si>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</si>
  <si>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</si>
  <si>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</si>
  <si>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</si>
  <si>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</si>
  <si>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</si>
  <si>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</si>
  <si>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</si>
  <si>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</si>
  <si>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</si>
  <si>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</si>
  <si>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</si>
  <si>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</si>
  <si>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</si>
  <si>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</si>
  <si>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</si>
  <si>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</si>
  <si>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</si>
  <si>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</si>
  <si>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</si>
  <si>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</si>
  <si>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</si>
  <si>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</si>
  <si>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</si>
  <si>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</si>
  <si>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</si>
  <si>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</si>
  <si>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</si>
  <si>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</si>
  <si>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</si>
  <si>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</si>
  <si>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</si>
  <si>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</si>
  <si>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</si>
  <si>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</si>
  <si>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</si>
  <si>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</si>
  <si>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</si>
  <si>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</si>
  <si>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</si>
  <si>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</si>
  <si>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</si>
  <si>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</si>
  <si>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</si>
  <si>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</si>
  <si>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</si>
  <si>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</si>
  <si>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</si>
  <si>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</si>
  <si>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</si>
  <si>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</si>
  <si>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</si>
  <si>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</si>
  <si>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</si>
  <si>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</si>
  <si>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</si>
  <si>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</si>
  <si>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</si>
  <si>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</si>
  <si>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</si>
  <si>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</si>
  <si>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</si>
  <si>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</si>
  <si>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</si>
  <si>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</si>
  <si>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</si>
  <si>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</si>
  <si>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</si>
  <si>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</si>
  <si>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</si>
  <si>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</si>
  <si>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</si>
  <si>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</si>
  <si>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</si>
  <si>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</si>
  <si>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</si>
  <si>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</si>
  <si>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</si>
  <si>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</si>
  <si>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</si>
  <si>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</si>
  <si>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</si>
  <si>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</si>
  <si>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</si>
  <si>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</si>
  <si>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</si>
  <si>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</si>
  <si>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</si>
  <si>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</si>
  <si>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</si>
  <si>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</si>
  <si>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</si>
  <si>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</si>
  <si>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</si>
  <si>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</si>
  <si>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</si>
  <si>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</si>
  <si>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</si>
  <si>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</si>
  <si>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</si>
  <si>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</si>
  <si>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</si>
  <si>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</si>
  <si>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</si>
  <si>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</si>
  <si>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</si>
  <si>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</si>
  <si>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</si>
  <si>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</si>
  <si>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</si>
  <si>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</si>
  <si>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</si>
  <si>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</si>
  <si>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</si>
  <si>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</si>
  <si>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</si>
  <si>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</si>
  <si>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</si>
  <si>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</si>
  <si>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</si>
  <si>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</si>
  <si>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</si>
  <si>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</si>
  <si>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</si>
  <si>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</si>
  <si>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</si>
  <si>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</si>
  <si>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</si>
  <si>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</si>
  <si>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</si>
  <si>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</si>
  <si>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</si>
  <si>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</si>
  <si>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</si>
  <si>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</si>
  <si>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</si>
  <si>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</si>
  <si>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</si>
  <si>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</si>
  <si>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</si>
  <si>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</si>
  <si>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</si>
  <si>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</si>
  <si>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</si>
  <si>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</si>
  <si>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</si>
  <si>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</si>
  <si>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</si>
  <si>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</si>
  <si>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</si>
  <si>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</si>
  <si>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</si>
  <si>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</si>
  <si>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</si>
  <si>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</si>
  <si>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</si>
  <si>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</si>
  <si>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</si>
  <si>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</si>
  <si>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</si>
  <si>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</si>
  <si>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</si>
  <si>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</si>
  <si>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</si>
  <si>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</si>
  <si>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</si>
  <si>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</si>
  <si>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</si>
  <si>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</si>
  <si>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</si>
  <si>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</si>
  <si>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</si>
  <si>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</si>
  <si>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</si>
  <si>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</si>
  <si>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</si>
  <si>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</si>
  <si>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</si>
  <si>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</si>
  <si>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</si>
  <si>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</si>
  <si>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</si>
  <si>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</si>
  <si>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</si>
  <si>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</si>
  <si>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</si>
  <si>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</si>
  <si>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</si>
  <si>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</si>
  <si>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</si>
  <si>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</si>
  <si>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</si>
  <si>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</si>
  <si>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</si>
  <si>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</si>
  <si>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</si>
  <si>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</si>
  <si>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</si>
  <si>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</si>
  <si>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</si>
  <si>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</si>
  <si>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</si>
  <si>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</si>
  <si>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</si>
  <si>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</si>
  <si>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</si>
  <si>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</si>
  <si>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</si>
  <si>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</si>
  <si>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</si>
  <si>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</si>
  <si>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</si>
  <si>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</si>
  <si>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</si>
  <si>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</si>
  <si>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</si>
  <si>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</si>
  <si>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</si>
  <si>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</si>
  <si>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</si>
  <si>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</si>
  <si>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</si>
  <si>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</si>
  <si>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</si>
  <si>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</si>
  <si>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</si>
  <si>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</si>
  <si>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</si>
  <si>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</si>
  <si>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</si>
  <si>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</si>
  <si>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</si>
  <si>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</si>
  <si>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</si>
  <si>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</si>
  <si>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</si>
  <si>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</si>
  <si>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</si>
  <si>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</si>
  <si>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</si>
  <si>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</si>
  <si>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</si>
  <si>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</si>
  <si>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</si>
  <si>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</si>
  <si>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</si>
  <si>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</si>
  <si>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</si>
  <si>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</si>
  <si>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</si>
  <si>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</si>
  <si>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</si>
  <si>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</si>
  <si>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</si>
  <si>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</si>
  <si>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</si>
  <si>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</si>
  <si>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</si>
  <si>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</si>
  <si>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</si>
  <si>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</si>
  <si>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</si>
  <si>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</si>
  <si>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</si>
  <si>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</si>
  <si>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</si>
  <si>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</si>
  <si>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</si>
  <si>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</si>
  <si>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</si>
  <si>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</si>
  <si>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</si>
  <si>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</si>
  <si>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</si>
  <si>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</si>
  <si>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</si>
  <si>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</si>
  <si>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</si>
  <si>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</si>
  <si>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</si>
  <si>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</si>
  <si>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</si>
  <si>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</si>
  <si>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</si>
  <si>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</si>
  <si>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</si>
  <si>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</si>
  <si>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</si>
  <si>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</si>
  <si>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</si>
  <si>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</si>
  <si>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</si>
  <si>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</si>
  <si>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</si>
  <si>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</si>
  <si>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</si>
  <si>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</si>
  <si>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</si>
  <si>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</si>
  <si>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</si>
  <si>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</si>
  <si>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</si>
  <si>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</si>
  <si>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</si>
  <si>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</si>
  <si>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</si>
  <si>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</si>
  <si>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</si>
  <si>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</si>
  <si>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</si>
  <si>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</si>
  <si>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</si>
  <si>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</si>
  <si>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</si>
  <si>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</si>
  <si>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</si>
  <si>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</si>
  <si>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</si>
  <si>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</si>
  <si>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</si>
  <si>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</si>
  <si>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</si>
  <si>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</si>
  <si>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</si>
  <si>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</si>
  <si>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</si>
  <si>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</si>
  <si>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</si>
  <si>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</si>
  <si>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</si>
  <si>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</si>
  <si>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</si>
  <si>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</si>
  <si>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</si>
  <si>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</si>
  <si>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</si>
  <si>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</si>
  <si>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</si>
  <si>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</si>
  <si>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</si>
  <si>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</si>
  <si>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</si>
  <si>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</si>
  <si>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</si>
  <si>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</si>
  <si>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</si>
  <si>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</si>
  <si>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</si>
  <si>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</si>
  <si>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</si>
  <si>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</si>
  <si>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</si>
  <si>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</si>
  <si>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</si>
  <si>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</si>
  <si>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</si>
  <si>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</si>
  <si>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</si>
  <si>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</si>
  <si>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</si>
  <si>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</si>
  <si>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</si>
  <si>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</si>
  <si>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</si>
  <si>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</si>
  <si>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</si>
  <si>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</si>
  <si>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</si>
  <si>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</si>
  <si>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</si>
  <si>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</si>
  <si>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</si>
  <si>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</si>
  <si>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</si>
  <si>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</si>
  <si>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</si>
  <si>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</si>
  <si>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</si>
  <si>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</si>
  <si>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</si>
  <si>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</si>
  <si>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</si>
  <si>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</si>
  <si>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</si>
  <si>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</si>
  <si>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</si>
  <si>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</si>
  <si>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</si>
  <si>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</si>
  <si>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</si>
  <si>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</si>
  <si>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</si>
  <si>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</si>
  <si>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</si>
  <si>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</si>
  <si>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</si>
  <si>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</si>
  <si>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</si>
  <si>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</si>
  <si>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</si>
  <si>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</si>
  <si>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</si>
  <si>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</si>
  <si>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</si>
  <si>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</si>
  <si>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</si>
  <si>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</si>
  <si>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</si>
  <si>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</si>
  <si>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</si>
  <si>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</si>
  <si>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</si>
  <si>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</si>
  <si>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</si>
  <si>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</si>
  <si>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</si>
  <si>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</si>
  <si>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</si>
  <si>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</si>
  <si>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</si>
  <si>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</si>
  <si>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</si>
  <si>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</si>
  <si>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</si>
  <si>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</si>
  <si>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</si>
  <si>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</si>
  <si>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</si>
  <si>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</si>
  <si>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</si>
  <si>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</si>
  <si>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</si>
  <si>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</si>
  <si>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</si>
  <si>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</si>
  <si>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</si>
  <si>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</si>
  <si>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</si>
  <si>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</si>
  <si>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</si>
  <si>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</si>
  <si>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</si>
  <si>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</si>
  <si>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</si>
  <si>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</si>
  <si>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</si>
  <si>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</si>
  <si>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</si>
  <si>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</si>
  <si>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</si>
  <si>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</si>
  <si>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</si>
  <si>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</si>
  <si>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</si>
  <si>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</si>
  <si>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</si>
  <si>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</si>
  <si>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</si>
  <si>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</si>
  <si>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</si>
  <si>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</si>
  <si>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</si>
  <si>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</si>
  <si>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</si>
  <si>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</si>
  <si>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</si>
  <si>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</si>
  <si>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</si>
  <si>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</si>
  <si>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</si>
  <si>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</si>
  <si>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</si>
  <si>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</si>
  <si>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</si>
  <si>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</si>
  <si>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</si>
  <si>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</si>
  <si>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</si>
  <si>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</si>
  <si>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</si>
  <si>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</si>
  <si>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</si>
  <si>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</si>
  <si>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</si>
  <si>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</si>
  <si>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</si>
  <si>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</si>
  <si>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</si>
  <si>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</si>
  <si>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</si>
  <si>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</si>
  <si>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</si>
  <si>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</si>
  <si>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</si>
  <si>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</si>
  <si>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</si>
  <si>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</si>
  <si>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</si>
  <si>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</si>
  <si>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</si>
  <si>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</si>
  <si>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</si>
  <si>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</si>
  <si>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</si>
  <si>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</si>
  <si>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</si>
  <si>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</si>
  <si>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</si>
  <si>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</si>
  <si>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</si>
  <si>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</si>
  <si>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</si>
  <si>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</si>
  <si>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</si>
  <si>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</si>
  <si>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</si>
  <si>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</si>
  <si>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</si>
  <si>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</si>
  <si>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</si>
  <si>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</si>
  <si>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</si>
  <si>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</si>
  <si>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</si>
  <si>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</si>
  <si>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</si>
  <si>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</si>
  <si>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</si>
  <si>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</si>
  <si>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</si>
  <si>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</si>
  <si>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</si>
  <si>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</si>
  <si>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</si>
  <si>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</si>
  <si>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</si>
  <si>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</si>
  <si>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</si>
  <si>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</si>
  <si>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</si>
  <si>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</si>
  <si>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</si>
  <si>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</si>
  <si>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</si>
  <si>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</si>
  <si>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</si>
  <si>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</si>
  <si>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</si>
  <si>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</si>
  <si>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</si>
  <si>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</si>
  <si>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</si>
  <si>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</si>
  <si>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</si>
  <si>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</si>
  <si>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</si>
  <si>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</si>
  <si>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</si>
  <si>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</si>
  <si>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</si>
  <si>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</si>
  <si>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</si>
  <si>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</si>
  <si>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</si>
  <si>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</si>
  <si>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</si>
  <si>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</si>
  <si>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</si>
  <si>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</si>
  <si>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</si>
  <si>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</si>
  <si>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</si>
  <si>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</si>
  <si>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</si>
  <si>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</si>
  <si>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</si>
  <si>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</si>
  <si>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</si>
  <si>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</si>
  <si>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</si>
  <si>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</si>
  <si>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</si>
  <si>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</si>
  <si>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</si>
  <si>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</si>
  <si>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</si>
  <si>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</si>
  <si>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</si>
  <si>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</si>
  <si>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</si>
  <si>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</si>
  <si>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</si>
  <si>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</si>
  <si>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</si>
  <si>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</si>
  <si>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</si>
  <si>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</si>
  <si>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</si>
  <si>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</si>
  <si>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</si>
  <si>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</si>
  <si>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</si>
  <si>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</si>
  <si>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</si>
  <si>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</si>
  <si>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</si>
  <si>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</si>
  <si>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</si>
  <si>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</si>
  <si>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FILIAL SP</t>
  </si>
  <si>
    <t>38608-1</t>
  </si>
  <si>
    <t>SHPY COMERCIO D</t>
  </si>
  <si>
    <t>TIAGO SANTANA</t>
  </si>
  <si>
    <t>ECONOMICO_250</t>
  </si>
  <si>
    <t>CTE NORMAL</t>
  </si>
  <si>
    <t>SAO PAULO - SP</t>
  </si>
  <si>
    <t>LEONARDO LAERCIO VIEIRA</t>
  </si>
  <si>
    <t>KAINAN DE PAULA FLAVIO</t>
  </si>
  <si>
    <t>TRANSPORTES EXPRESSO BOM</t>
  </si>
  <si>
    <t>MATRIZ</t>
  </si>
  <si>
    <t>204516-1</t>
  </si>
  <si>
    <t>DL FESTAS COMER</t>
  </si>
  <si>
    <t>ASIA/MAURO MARQUES</t>
  </si>
  <si>
    <t>PERSONALIZADO_L</t>
  </si>
  <si>
    <t>GUARULHOS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</si>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</sst>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[Analise_VALTER_07102026.xlsx]Resumo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SHPY COMERCIO D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8700</c:v>
                </c:pt>
                <c:pt idx="1">
                  <c:v>82.66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SHPY COMERCIO D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6165.23</c:v>
                </c:pt>
                <c:pt idx="1">
                  <c:v>25.327199999999994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[Analise_VALTER_07102026.xlsx]Resumo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SHPY COMERCIO D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8700</c:v>
                </c:pt>
                <c:pt idx="1">
                  <c:v>82.66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SHPY COMERCIO D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6165.23</c:v>
                </c:pt>
                <c:pt idx="1">
                  <c:v>25.327199999999994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5109837962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674" count="8000">
        <n v="304672"/>
        <n v="30467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SHPY COMERCIO D"/>
        <s v="DL FESTAS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599.5" maxValue="130182.61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2.66" maxValue="8700"/>
    </cacheField>
    <cacheField name="VOLUMES" numFmtId="0">
      <sharedItems containsString="0" containsBlank="1" containsNumber="1" containsInteger="1" minValue="3" maxValue="539"/>
    </cacheField>
    <cacheField name="PESO" numFmtId="0">
      <sharedItems containsString="0" containsBlank="1" containsNumber="1" minValue="27.45" maxValue="4136.3500000000004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9.92" maxValue="104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" maxValue="65.09"/>
    </cacheField>
    <cacheField name="OUTROS" numFmtId="0">
      <sharedItems containsString="0" containsBlank="1" containsNumber="1" containsInteger="1" minValue="0" maxValue="500"/>
    </cacheField>
    <cacheField name="C.TOTAL" numFmtId="0">
      <sharedItems containsString="0" containsBlank="1" containsNumber="1" minValue="77.75" maxValue="5682.06"/>
    </cacheField>
    <cacheField name="RECEITA" numFmtId="0">
      <sharedItems containsString="0" containsBlank="1" containsNumber="1" minValue="4.91" maxValue="3017.94"/>
    </cacheField>
    <cacheField name="IMPOSTO" numFmtId="0">
      <sharedItems containsString="0" containsBlank="1" containsNumber="1" minValue="21.49" maxValue="2262"/>
    </cacheField>
    <cacheField name="RESULTADO" numFmtId="0">
      <sharedItems containsString="0" containsBlank="1" containsNumber="1" minValue="-18.760000000000002" maxValue="755.94"/>
    </cacheField>
    <cacheField name="COMIS" numFmtId="0">
      <sharedItems containsString="0" containsBlank="1" containsNumber="1" minValue="0" maxValue="229.68"/>
    </cacheField>
    <cacheField name="LUCRO LIQ" numFmtId="0">
      <sharedItems containsString="0" containsBlank="1" containsNumber="1" minValue="-18.760000000000002" maxValue="526.26"/>
    </cacheField>
    <cacheField name="MARGEM" numFmtId="10">
      <sharedItems containsString="0" containsBlank="1" containsNumber="1" minValue="-0.22699999999999998" maxValue="6.049999999999999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m/>
    <d v="2026-10-07T00:00:00"/>
    <m/>
    <s v="38608-1"/>
    <x v="0"/>
    <s v="TIAGO SANTANA"/>
    <n v="1599.5"/>
    <x v="0"/>
    <s v="CTE NORMAL"/>
    <s v="SAO PAULO - SP"/>
    <n v="82.66"/>
    <n v="3"/>
    <n v="27.45"/>
    <s v="LEONARDO LAERCIO VIEIRA"/>
    <n v="0"/>
    <s v="KAINAN DE PAULA FLAVIO"/>
    <n v="40"/>
    <s v="TRANSPORTES EXPRESSO BOM"/>
    <n v="0"/>
    <n v="9.92"/>
    <n v="0"/>
    <n v="0"/>
    <n v="0.8"/>
    <n v="0"/>
    <n v="77.75"/>
    <n v="4.91"/>
    <n v="21.49"/>
    <n v="-18.760000000000002"/>
    <n v="0"/>
    <n v="-18.760000000000002"/>
    <n v="-0.22699999999999998"/>
    <m/>
  </r>
  <r>
    <x v="1"/>
    <s v="MATRIZ"/>
    <d v="2026-10-07T00:00:00"/>
    <d v="2026-10-07T00:00:00"/>
    <m/>
    <s v="204516-1"/>
    <x v="1"/>
    <s v="ASIA/MAURO MARQUES"/>
    <n v="130182.61"/>
    <x v="1"/>
    <s v="CTE NORMAL"/>
    <s v="GUARULHOS - SP"/>
    <n v="8700"/>
    <n v="539"/>
    <n v="4136.3500000000004"/>
    <s v="N/D"/>
    <n v="0"/>
    <s v="N/D"/>
    <n v="0"/>
    <s v="TRANSPORTES EXPRESSO BOM"/>
    <n v="0"/>
    <n v="1044"/>
    <n v="0"/>
    <n v="0"/>
    <n v="65.09"/>
    <n v="500"/>
    <n v="5682.06"/>
    <n v="3017.94"/>
    <n v="2262"/>
    <n v="755.94"/>
    <n v="229.68"/>
    <n v="526.26"/>
    <n v="6.049999999999999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5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1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3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6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m="1" x="807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6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4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x="1"/>
        <item m="1" x="102"/>
        <item sd="0" m="1" x="71"/>
        <item m="1" x="580"/>
        <item sd="0" m="1" x="799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1"/>
        <item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1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5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0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89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8"/>
        <item m="1" x="29"/>
        <item m="1" x="783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0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2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4"/>
        <item m="1" x="129"/>
        <item m="1" x="212"/>
        <item m="1" x="834"/>
        <item m="1" x="587"/>
        <item m="1" x="797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4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x="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0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07"/>
    </i>
    <i r="1">
      <x v="7999"/>
    </i>
    <i>
      <x v="704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5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1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3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6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m="1" x="807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6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4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x="1"/>
        <item m="1" x="102"/>
        <item sd="0" m="1" x="71"/>
        <item m="1" x="580"/>
        <item sd="0" m="1" x="799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1"/>
        <item sd="0"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3"/>
        <item m="1" x="42"/>
        <item m="1" x="806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1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5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0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89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8"/>
        <item m="1" x="29"/>
        <item m="1" x="783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0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2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4"/>
        <item m="1" x="129"/>
        <item m="1" x="212"/>
        <item m="1" x="834"/>
        <item m="1" x="587"/>
        <item m="1" x="797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4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x="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0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07"/>
    </i>
    <i>
      <x v="70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4" s="1" nd="1"/>
        <i x="795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3" s="1" nd="1"/>
        <i x="21" s="1" nd="1"/>
        <i x="759" s="1" nd="1"/>
        <i x="113" s="1" nd="1"/>
        <i x="546" s="1" nd="1"/>
        <i x="829" s="1" nd="1"/>
        <i x="271" s="1" nd="1"/>
        <i x="480" s="1" nd="1"/>
        <i x="774" s="1" nd="1"/>
        <i x="267" s="1" nd="1"/>
        <i x="344" s="1" nd="1"/>
        <i x="678" s="1" nd="1"/>
        <i x="801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0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1" s="1" nd="1"/>
        <i x="323" s="1" nd="1"/>
        <i x="462" s="1" nd="1"/>
        <i x="507" s="1" nd="1"/>
        <i x="555" s="1" nd="1"/>
        <i x="478" s="1" nd="1"/>
        <i x="245" s="1" nd="1"/>
        <i x="849" s="1" nd="1"/>
        <i x="833" s="1" nd="1"/>
        <i x="744" s="1" nd="1"/>
        <i x="241" s="1" nd="1"/>
        <i x="240" s="1" nd="1"/>
        <i x="463" s="1" nd="1"/>
        <i x="287" s="1" nd="1"/>
        <i x="551" s="1" nd="1"/>
        <i x="846" s="1" nd="1"/>
        <i x="446" s="1" nd="1"/>
        <i x="531" s="1" nd="1"/>
        <i x="667" s="1" nd="1"/>
        <i x="520" s="1" nd="1"/>
        <i x="793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6" s="1" nd="1"/>
        <i x="184" s="1" nd="1"/>
        <i x="836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7" s="1" nd="1"/>
        <i x="249" s="1" nd="1"/>
        <i x="765" s="1" nd="1"/>
        <i x="426" s="1" nd="1"/>
        <i x="437" s="1" nd="1"/>
        <i x="168" s="1" nd="1"/>
        <i x="544" s="1" nd="1"/>
        <i x="807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9" s="1" nd="1"/>
        <i x="854" s="1" nd="1"/>
        <i x="830" s="1" nd="1"/>
        <i x="107" s="1" nd="1"/>
        <i x="402" s="1" nd="1"/>
        <i x="115" s="1" nd="1"/>
        <i x="654" s="1" nd="1"/>
        <i x="658" s="1" nd="1"/>
        <i x="796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1" s="1" nd="1"/>
        <i x="458" s="1" nd="1"/>
        <i x="479" s="1" nd="1"/>
        <i x="752" s="1" nd="1"/>
        <i x="640" s="1" nd="1"/>
        <i x="54" s="1" nd="1"/>
        <i x="794" s="1" nd="1"/>
        <i x="718" s="1" nd="1"/>
        <i x="418" s="1" nd="1"/>
        <i x="736" s="1" nd="1"/>
        <i x="814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8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799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2" s="1" nd="1"/>
        <i x="766" s="1" nd="1"/>
        <i x="510" s="1" nd="1"/>
        <i x="822" s="1" nd="1"/>
        <i x="342" s="1" nd="1"/>
        <i x="224" s="1" nd="1"/>
        <i x="65" s="1" nd="1"/>
        <i x="637" s="1" nd="1"/>
        <i x="459" s="1" nd="1"/>
        <i x="791" s="1" nd="1"/>
        <i x="705" s="1" nd="1"/>
        <i x="235" s="1" nd="1"/>
        <i x="599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803" s="1" nd="1"/>
        <i x="42" s="1" nd="1"/>
        <i x="806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0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3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1" s="1" nd="1"/>
        <i x="641" s="1" nd="1"/>
        <i x="330" s="1" nd="1"/>
        <i x="369" s="1" nd="1"/>
        <i x="816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5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8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1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0" s="1" nd="1"/>
        <i x="218" s="1" nd="1"/>
        <i x="828" s="1" nd="1"/>
        <i x="70" s="1" nd="1"/>
        <i x="119" s="1" nd="1"/>
        <i x="647" s="1" nd="1"/>
        <i x="412" s="1" nd="1"/>
        <i x="855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89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1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39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5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5" s="1" nd="1"/>
        <i x="788" s="1" nd="1"/>
        <i x="29" s="1" nd="1"/>
        <i x="783" s="1" nd="1"/>
        <i x="254" s="1" nd="1"/>
        <i x="476" s="1" nd="1"/>
        <i x="813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0" s="1" nd="1"/>
        <i x="20" s="1" nd="1"/>
        <i x="539" s="1" nd="1"/>
        <i x="638" s="1" nd="1"/>
        <i x="577" s="1" nd="1"/>
        <i x="198" s="1" nd="1"/>
        <i x="576" s="1" nd="1"/>
        <i x="366" s="1" nd="1"/>
        <i x="824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2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2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4" s="1" nd="1"/>
        <i x="792" s="1" nd="1"/>
        <i x="201" s="1" nd="1"/>
        <i x="152" s="1" nd="1"/>
        <i x="237" s="1" nd="1"/>
        <i x="504" s="1" nd="1"/>
        <i x="787" s="1" nd="1"/>
        <i x="260" s="1" nd="1"/>
        <i x="754" s="1" nd="1"/>
        <i x="129" s="1" nd="1"/>
        <i x="212" s="1" nd="1"/>
        <i x="834" s="1" nd="1"/>
        <i x="587" s="1" nd="1"/>
        <i x="797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8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4" s="1" nd="1"/>
        <i x="726" s="1" nd="1"/>
        <i x="842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1" s="1" nd="1"/>
        <i x="496" s="1" nd="1"/>
        <i x="396" s="1" nd="1"/>
        <i x="672" s="1" nd="1"/>
        <i x="186" s="1" nd="1"/>
        <i x="410" s="1" nd="1"/>
        <i x="475" s="1" nd="1"/>
        <i x="838" s="1" nd="1"/>
        <i x="126" s="1" nd="1"/>
        <i x="153" s="1" nd="1"/>
        <i x="595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2" s="1" nd="1"/>
        <i x="30" s="1" nd="1"/>
        <i x="572" s="1" nd="1"/>
        <i x="514" s="1" nd="1"/>
        <i x="414" s="1" nd="1"/>
        <i x="704" s="1" nd="1"/>
        <i x="205" s="1" nd="1"/>
        <i x="645" s="1" nd="1"/>
        <i x="780" s="1" nd="1"/>
        <i x="469" s="1" nd="1"/>
        <i x="41" s="1" nd="1"/>
        <i x="695" s="1" nd="1"/>
        <i x="665" s="1" nd="1"/>
        <i x="809" s="1" nd="1"/>
        <i x="817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3" s="1" nd="1"/>
        <i x="837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304672</v>
      </c>
      <c r="B2" s="12" t="s">
        <v>616</v>
      </c>
      <c r="C2" s="14"/>
      <c r="D2" s="14">
        <v>46302</v>
      </c>
      <c r="E2" s="12"/>
      <c r="F2" s="15" t="s">
        <v>617</v>
      </c>
      <c r="G2" s="15" t="s">
        <v>618</v>
      </c>
      <c r="H2" s="15" t="s">
        <v>619</v>
      </c>
      <c r="I2" s="16">
        <v>1599.5</v>
      </c>
      <c r="J2" s="15" t="s">
        <v>620</v>
      </c>
      <c r="K2" s="15" t="s">
        <v>621</v>
      </c>
      <c r="L2" s="15" t="s">
        <v>622</v>
      </c>
      <c r="M2" s="15">
        <v>82.66</v>
      </c>
      <c r="N2" s="15">
        <v>3</v>
      </c>
      <c r="O2" s="16">
        <v>27.45</v>
      </c>
      <c r="P2" s="15" t="s">
        <v>623</v>
      </c>
      <c r="Q2" s="15">
        <v>0</v>
      </c>
      <c r="R2" s="15" t="s">
        <v>624</v>
      </c>
      <c r="S2" s="15">
        <v>40</v>
      </c>
      <c r="T2" s="15" t="s">
        <v>625</v>
      </c>
      <c r="U2" s="15">
        <v>0</v>
      </c>
      <c r="V2" s="15">
        <v>9.92</v>
      </c>
      <c r="W2" s="15">
        <v>0</v>
      </c>
      <c r="X2" s="15">
        <v>0</v>
      </c>
      <c r="Y2" s="15">
        <v>0.8</v>
      </c>
      <c r="Z2" s="15">
        <v>0</v>
      </c>
      <c r="AA2" s="15">
        <v>77.75</v>
      </c>
      <c r="AB2" s="15">
        <v>4.91</v>
      </c>
      <c r="AC2" s="15">
        <v>21.49</v>
      </c>
      <c r="AD2" s="15">
        <v>-18.760000000000002</v>
      </c>
      <c r="AE2" s="15">
        <v>0</v>
      </c>
      <c r="AF2" s="15">
        <v>-18.760000000000002</v>
      </c>
      <c r="AG2" s="17">
        <v>-0.22699999999999998</v>
      </c>
      <c r="AH2" s="15"/>
    </row>
    <row r="3" spans="1:34" s="1" customFormat="1" ht="12" customHeight="1" x14ac:dyDescent="0.3">
      <c r="A3" s="13">
        <v>304674</v>
      </c>
      <c r="B3" s="12" t="s">
        <v>626</v>
      </c>
      <c r="C3" s="14">
        <v>46302</v>
      </c>
      <c r="D3" s="14">
        <v>46302</v>
      </c>
      <c r="E3" s="12"/>
      <c r="F3" s="15" t="s">
        <v>627</v>
      </c>
      <c r="G3" s="15" t="s">
        <v>628</v>
      </c>
      <c r="H3" s="15" t="s">
        <v>629</v>
      </c>
      <c r="I3" s="16">
        <v>130182.61</v>
      </c>
      <c r="J3" s="15" t="s">
        <v>630</v>
      </c>
      <c r="K3" s="15" t="s">
        <v>621</v>
      </c>
      <c r="L3" s="15" t="s">
        <v>631</v>
      </c>
      <c r="M3" s="16">
        <v>8700</v>
      </c>
      <c r="N3" s="15">
        <v>539</v>
      </c>
      <c r="O3" s="16">
        <v>4136.3500000000004</v>
      </c>
      <c r="P3" s="15" t="s">
        <v>632</v>
      </c>
      <c r="Q3" s="15">
        <v>0</v>
      </c>
      <c r="R3" s="15" t="s">
        <v>632</v>
      </c>
      <c r="S3" s="15">
        <v>0</v>
      </c>
      <c r="T3" s="15" t="s">
        <v>625</v>
      </c>
      <c r="U3" s="15">
        <v>0</v>
      </c>
      <c r="V3" s="15">
        <v>1044</v>
      </c>
      <c r="W3" s="15">
        <v>0</v>
      </c>
      <c r="X3" s="15">
        <v>0</v>
      </c>
      <c r="Y3" s="15">
        <v>65.09</v>
      </c>
      <c r="Z3" s="15">
        <v>500</v>
      </c>
      <c r="AA3" s="16">
        <v>5682.06</v>
      </c>
      <c r="AB3" s="16">
        <v>3017.94</v>
      </c>
      <c r="AC3" s="15">
        <v>2262</v>
      </c>
      <c r="AD3" s="15">
        <v>755.94</v>
      </c>
      <c r="AE3" s="15">
        <v>229.68</v>
      </c>
      <c r="AF3" s="15">
        <v>526.26</v>
      </c>
      <c r="AG3" s="17">
        <v>6.0499999999999998E-2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8782.66</v>
      </c>
      <c r="F3" s="89"/>
      <c r="G3" s="90"/>
      <c r="H3" s="133">
        <f>'Resumo Detalhado'!C2</f>
        <v>4163.8</v>
      </c>
      <c r="I3" s="134"/>
      <c r="J3" s="135">
        <f>E3/H3</f>
        <v>2.1092895912387721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0.37852727272727277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4100</v>
      </c>
      <c r="F7" s="112"/>
      <c r="G7" s="112"/>
      <c r="H7" s="112"/>
      <c r="I7" s="112"/>
      <c r="J7" s="112">
        <f>E7/H3</f>
        <v>0.98467745809116669</v>
      </c>
      <c r="K7" s="112"/>
      <c r="L7" s="112"/>
      <c r="M7" s="130">
        <f>E7/E3</f>
        <v>0.46682895614768194</v>
      </c>
      <c r="N7" s="130"/>
      <c r="O7" s="130"/>
      <c r="P7" s="112">
        <f>E11+K11+Q11+E15+K15+Q15+E19+H19+K19</f>
        <v>7827.6484</v>
      </c>
      <c r="Q7" s="112"/>
      <c r="R7" s="112"/>
      <c r="S7" s="112">
        <f>P7/H3</f>
        <v>1.8799290071569239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0.98467745809116669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1053.92</v>
      </c>
      <c r="F15" s="119"/>
      <c r="G15" s="119"/>
      <c r="H15" s="119"/>
      <c r="I15" s="132"/>
      <c r="J15" s="38"/>
      <c r="K15" s="113">
        <f>'Resumo Detalhado'!K2+'Resumo Detalhado'!L2</f>
        <v>1405.2256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65.89</v>
      </c>
      <c r="F19" s="120"/>
      <c r="G19" s="38"/>
      <c r="H19" s="122">
        <f>'Resumo Detalhado'!J2</f>
        <v>500</v>
      </c>
      <c r="I19" s="123"/>
      <c r="J19" s="38"/>
      <c r="K19" s="122">
        <f>'Resumo Detalhado'!L2</f>
        <v>702.61279999999999</v>
      </c>
      <c r="L19" s="123"/>
      <c r="M19" s="38"/>
      <c r="N19" s="121" t="s">
        <v>207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6190.5571999999993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0.70486130625573562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8782.66</v>
      </c>
      <c r="C2" s="29">
        <f>SUM(C6:C5000)</f>
        <v>4163.8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1053.92</v>
      </c>
      <c r="I2" s="29">
        <f t="shared" si="0"/>
        <v>65.89</v>
      </c>
      <c r="J2" s="29">
        <f t="shared" si="0"/>
        <v>500</v>
      </c>
      <c r="K2" s="29">
        <f t="shared" si="0"/>
        <v>702.61279999999999</v>
      </c>
      <c r="L2" s="29">
        <f t="shared" si="0"/>
        <v>702.61279999999999</v>
      </c>
      <c r="M2" s="29">
        <f t="shared" si="0"/>
        <v>229.68</v>
      </c>
      <c r="N2" s="29">
        <f t="shared" si="0"/>
        <v>6190.5571999999993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304674</v>
      </c>
      <c r="B6" s="139">
        <v>8700</v>
      </c>
      <c r="C6" s="140">
        <v>4136.3500000000004</v>
      </c>
      <c r="D6" s="139">
        <v>0</v>
      </c>
      <c r="E6" s="139">
        <v>0</v>
      </c>
      <c r="F6" s="139">
        <v>0</v>
      </c>
      <c r="G6" s="141">
        <v>0</v>
      </c>
      <c r="H6" s="139">
        <v>1044</v>
      </c>
      <c r="I6" s="139">
        <v>65.09</v>
      </c>
      <c r="J6" s="139">
        <v>500</v>
      </c>
      <c r="K6" s="139">
        <v>696</v>
      </c>
      <c r="L6" s="139">
        <v>696</v>
      </c>
      <c r="M6" s="139">
        <v>229.68</v>
      </c>
      <c r="N6" s="139">
        <v>6165.23</v>
      </c>
      <c r="O6" s="141">
        <v>0.70864712643678152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304672</v>
      </c>
      <c r="B8" s="139">
        <v>82.66</v>
      </c>
      <c r="C8" s="140">
        <v>27.45</v>
      </c>
      <c r="D8" s="139">
        <v>0</v>
      </c>
      <c r="E8" s="139">
        <v>40</v>
      </c>
      <c r="F8" s="139">
        <v>0</v>
      </c>
      <c r="G8" s="141">
        <v>0.4839099927413501</v>
      </c>
      <c r="H8" s="139">
        <v>9.92</v>
      </c>
      <c r="I8" s="139">
        <v>0.8</v>
      </c>
      <c r="J8" s="139">
        <v>0</v>
      </c>
      <c r="K8" s="139">
        <v>6.6128</v>
      </c>
      <c r="L8" s="139">
        <v>6.6128</v>
      </c>
      <c r="M8" s="139">
        <v>0</v>
      </c>
      <c r="N8" s="139">
        <v>25.327199999999994</v>
      </c>
      <c r="O8" s="141">
        <v>0.30640212920396798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82.66</v>
      </c>
      <c r="C2" s="29">
        <f>SUM(C6:C5000)</f>
        <v>25.327199999999994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628</v>
      </c>
      <c r="B5" s="10">
        <v>8700</v>
      </c>
      <c r="C5" s="10">
        <v>6165.23</v>
      </c>
    </row>
    <row r="6" spans="1:4" x14ac:dyDescent="0.3">
      <c r="A6" s="9" t="s">
        <v>618</v>
      </c>
      <c r="B6" s="139">
        <v>82.66</v>
      </c>
      <c r="C6" s="139">
        <v>25.327199999999994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2026-10-13T13:49:42Z</dcterms:modified>
  <cp:category/>
  <cp:contentStatus/>
</cp:coreProperties>
</file>