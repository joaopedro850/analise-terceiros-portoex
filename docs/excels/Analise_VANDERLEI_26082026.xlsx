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5FBEFA4-8022-4B9F-AE04-180D01C2A48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<sst xmlns="http://schemas.openxmlformats.org/spreadsheetml/2006/main" count="857" uniqueCount="589">
  <si>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</si>
  <si>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</si>
  <si>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</si>
  <si>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</si>
  <si>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</si>
  <si>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</si>
  <si>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</si>
  <si>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</si>
  <si>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</si>
  <si>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</si>
  <si>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</si>
  <si>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</si>
  <si>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</si>
  <si>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</si>
  <si>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</si>
  <si>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</si>
  <si>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</si>
  <si>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</si>
  <si>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</si>
  <si>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</si>
  <si>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</si>
  <si>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</si>
  <si>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</si>
  <si>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</si>
  <si>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</si>
  <si>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</si>
  <si>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</si>
  <si>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</si>
  <si>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</si>
  <si>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</si>
  <si>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</si>
  <si>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</si>
  <si>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</si>
  <si>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</si>
  <si>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</si>
  <si>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</si>
  <si>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</si>
  <si>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</si>
  <si>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</si>
  <si>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</si>
  <si>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</si>
  <si>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</si>
  <si>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</si>
  <si>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</si>
  <si>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</si>
  <si>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</si>
  <si>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</si>
  <si>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</si>
  <si>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</si>
  <si>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</si>
  <si>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</si>
  <si>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</si>
  <si>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</si>
  <si>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</si>
  <si>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</si>
  <si>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</si>
  <si>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</si>
  <si>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</si>
  <si>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</si>
  <si>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</si>
  <si>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</si>
  <si>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</si>
  <si>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</si>
  <si>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</si>
  <si>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</si>
  <si>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</si>
  <si>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</si>
  <si>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</si>
  <si>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</si>
  <si>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</si>
  <si>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</si>
  <si>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</si>
  <si>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</si>
  <si>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</si>
  <si>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</si>
  <si>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</si>
  <si>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</si>
  <si>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</si>
  <si>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</si>
  <si>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</si>
  <si>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</si>
  <si>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</si>
  <si>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</si>
  <si>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</si>
  <si>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</si>
  <si>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</si>
  <si>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</si>
  <si>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</si>
  <si>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</si>
  <si>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</si>
  <si>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</si>
  <si>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</si>
  <si>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</si>
  <si>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</si>
  <si>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</si>
  <si>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</si>
  <si>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</si>
  <si>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</si>
  <si>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</si>
  <si>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</si>
  <si>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</si>
  <si>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</si>
  <si>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</si>
  <si>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</si>
  <si>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</si>
  <si>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</si>
  <si>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</si>
  <si>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</si>
  <si>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</si>
  <si>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</si>
  <si>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</si>
  <si>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</si>
  <si>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</si>
  <si>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</si>
  <si>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</si>
  <si>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</si>
  <si>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</si>
  <si>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</si>
  <si>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</si>
  <si>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</si>
  <si>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</si>
  <si>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</si>
  <si>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</si>
  <si>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</si>
  <si>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</si>
  <si>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</si>
  <si>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</si>
  <si>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</si>
  <si>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</si>
  <si>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</si>
  <si>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</si>
  <si>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</si>
  <si>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</si>
  <si>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</si>
  <si>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</si>
  <si>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</si>
  <si>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</si>
  <si>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</si>
  <si>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</si>
  <si>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</si>
  <si>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</si>
  <si>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</si>
  <si>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</si>
  <si>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</si>
  <si>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</si>
  <si>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</si>
  <si>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</si>
  <si>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</si>
  <si>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</si>
  <si>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</si>
  <si>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</si>
  <si>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</si>
  <si>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</si>
  <si>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</si>
  <si>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</si>
  <si>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</si>
  <si>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</si>
  <si>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</si>
  <si>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</si>
  <si>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</si>
  <si>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</si>
  <si>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</si>
  <si>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</si>
  <si>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</si>
  <si>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</si>
  <si>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</si>
  <si>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</si>
  <si>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</si>
  <si>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</si>
  <si>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</si>
  <si>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</si>
  <si>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</si>
  <si>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</si>
  <si>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</si>
  <si>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</si>
  <si>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</si>
  <si>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</si>
  <si>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</si>
  <si>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</si>
  <si>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</si>
  <si>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</si>
  <si>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</si>
  <si>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</si>
  <si>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</si>
  <si>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</si>
  <si>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</si>
  <si>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</si>
  <si>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</si>
  <si>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</si>
  <si>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</si>
  <si>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</si>
  <si>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</si>
  <si>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</si>
  <si>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</si>
  <si>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</si>
  <si>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</si>
  <si>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</si>
  <si>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</si>
  <si>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</si>
  <si>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</si>
  <si>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</si>
  <si>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</si>
  <si>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</si>
  <si>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</si>
  <si>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</si>
  <si>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</si>
  <si>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</si>
  <si>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</si>
  <si>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</si>
  <si>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</si>
  <si>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</si>
  <si>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</si>
  <si>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</si>
  <si>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</si>
  <si>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</si>
  <si>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</si>
  <si>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</si>
  <si>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</si>
  <si>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</si>
  <si>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</si>
  <si>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</si>
  <si>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</si>
  <si>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</si>
  <si>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</si>
  <si>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</si>
  <si>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</si>
  <si>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</si>
  <si>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</si>
  <si>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</si>
  <si>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</si>
  <si>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</si>
  <si>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</si>
  <si>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</si>
  <si>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</si>
  <si>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</si>
  <si>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</si>
  <si>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</si>
  <si>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</si>
  <si>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</si>
  <si>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</si>
  <si>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</si>
  <si>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</si>
  <si>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</si>
  <si>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</si>
  <si>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</si>
  <si>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</si>
  <si>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</si>
  <si>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</si>
  <si>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</si>
  <si>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</si>
  <si>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</si>
  <si>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</si>
  <si>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</si>
  <si>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</si>
  <si>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</si>
  <si>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</si>
  <si>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</si>
  <si>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</si>
  <si>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</si>
  <si>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</si>
  <si>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</si>
  <si>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</si>
  <si>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</si>
  <si>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</si>
  <si>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</si>
  <si>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</si>
  <si>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</si>
  <si>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</si>
  <si>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</si>
  <si>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</si>
  <si>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</si>
  <si>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</si>
  <si>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</si>
  <si>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</si>
  <si>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</si>
  <si>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</si>
  <si>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</si>
  <si>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</si>
  <si>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</si>
  <si>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</si>
  <si>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</si>
  <si>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</si>
  <si>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</si>
  <si>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</si>
  <si>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</si>
  <si>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</si>
  <si>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</si>
  <si>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</si>
  <si>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</si>
  <si>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</si>
  <si>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</si>
  <si>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</si>
  <si>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</si>
  <si>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</si>
  <si>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</si>
  <si>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</si>
  <si>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</si>
  <si>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</si>
  <si>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</si>
  <si>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</si>
  <si>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</si>
  <si>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</si>
  <si>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</si>
  <si>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</si>
  <si>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</si>
  <si>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</si>
  <si>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</si>
  <si>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</si>
  <si>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</si>
  <si>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</si>
  <si>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</si>
  <si>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</si>
  <si>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</si>
  <si>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</si>
  <si>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</si>
  <si>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</si>
  <si>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</si>
  <si>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</si>
  <si>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</si>
  <si>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</si>
  <si>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</si>
  <si>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</si>
  <si>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</si>
  <si>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</si>
  <si>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</si>
  <si>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</si>
  <si>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</si>
  <si>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</si>
  <si>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</si>
  <si>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</si>
  <si>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</si>
  <si>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</si>
  <si>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</si>
  <si>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</si>
  <si>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</si>
  <si>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</si>
  <si>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</si>
  <si>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</si>
  <si>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</si>
  <si>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</si>
  <si>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</si>
  <si>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</si>
  <si>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</si>
  <si>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</si>
  <si>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</si>
  <si>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</si>
  <si>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</si>
  <si>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</si>
  <si>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</si>
  <si>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</si>
  <si>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</si>
  <si>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</si>
  <si>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</si>
  <si>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</si>
  <si>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</si>
  <si>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</si>
  <si>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</si>
  <si>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</si>
  <si>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</si>
  <si>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</si>
  <si>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</si>
  <si>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</si>
  <si>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</si>
  <si>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</si>
  <si>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</si>
  <si>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</si>
  <si>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</si>
  <si>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</si>
  <si>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</si>
  <si>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</si>
  <si>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</si>
  <si>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</si>
  <si>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</si>
  <si>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</si>
  <si>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</si>
  <si>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</si>
  <si>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</si>
  <si>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</si>
  <si>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</si>
  <si>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</si>
  <si>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</si>
  <si>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</si>
  <si>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</si>
  <si>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</si>
  <si>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</si>
  <si>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</si>
  <si>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</si>
  <si>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</si>
  <si>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</si>
  <si>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</si>
  <si>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</si>
  <si>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</si>
  <si>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</si>
  <si>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</si>
  <si>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</si>
  <si>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</si>
  <si>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</si>
  <si>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</si>
  <si>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</si>
  <si>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</si>
  <si>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</si>
  <si>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</si>
  <si>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</si>
  <si>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</si>
  <si>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</si>
  <si>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</si>
  <si>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</si>
  <si>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</si>
  <si>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</si>
  <si>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</si>
  <si>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</si>
  <si>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</si>
  <si>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</si>
  <si>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</si>
  <si>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</si>
  <si>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</si>
  <si>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</si>
  <si>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</si>
  <si>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</si>
  <si>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</si>
  <si>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</si>
  <si>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</si>
  <si>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</si>
  <si>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</si>
  <si>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</si>
  <si>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</si>
  <si>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</si>
  <si>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</si>
  <si>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</si>
  <si>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</si>
  <si>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</si>
  <si>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</si>
  <si>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</si>
  <si>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</si>
  <si>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</si>
  <si>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</si>
  <si>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</si>
  <si>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</si>
  <si>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</si>
  <si>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</si>
  <si>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</si>
  <si>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</si>
  <si>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</si>
  <si>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</si>
  <si>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</si>
  <si>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</si>
  <si>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</si>
  <si>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</si>
  <si>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</si>
  <si>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</si>
  <si>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</si>
  <si>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</si>
  <si>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</si>
  <si>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</si>
  <si>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</si>
  <si>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</si>
  <si>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</si>
  <si>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</si>
  <si>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</si>
  <si>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</si>
  <si>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</si>
  <si>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</si>
  <si>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</si>
  <si>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</si>
  <si>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</si>
  <si>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</si>
  <si>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</si>
  <si>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</si>
  <si>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</si>
  <si>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</si>
  <si>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</si>
  <si>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</si>
  <si>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</si>
  <si>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</si>
  <si>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</si>
  <si>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</si>
  <si>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</si>
  <si>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</si>
  <si>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</si>
  <si>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</si>
  <si>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</si>
  <si>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</si>
  <si>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</si>
  <si>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</si>
  <si>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</si>
  <si>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</si>
  <si>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</si>
  <si>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</si>
  <si>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</si>
  <si>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</si>
  <si>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</si>
  <si>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</si>
  <si>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</si>
  <si>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</si>
  <si>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</si>
  <si>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</si>
  <si>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</si>
  <si>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</si>
  <si>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</si>
  <si>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</si>
  <si>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</si>
  <si>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</si>
  <si>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</si>
  <si>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</si>
  <si>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</si>
  <si>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</si>
  <si>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</si>
  <si>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</si>
  <si>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</si>
  <si>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</si>
  <si>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</si>
  <si>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</si>
  <si>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</si>
  <si>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</si>
  <si>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</si>
  <si>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</si>
  <si>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</si>
  <si>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</si>
  <si>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</si>
  <si>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</si>
  <si>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</si>
  <si>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</si>
  <si>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</si>
  <si>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</si>
  <si>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</si>
  <si>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</si>
  <si>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</si>
  <si>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</si>
  <si>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</si>
  <si>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</si>
  <si>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</si>
  <si>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</si>
  <si>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</si>
  <si>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</si>
  <si>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</si>
  <si>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</si>
  <si>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</si>
  <si>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</si>
  <si>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</si>
  <si>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</si>
  <si>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</si>
  <si>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</si>
  <si>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</si>
  <si>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</si>
  <si>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</si>
  <si>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</si>
  <si>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</si>
  <si>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</si>
  <si>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</si>
  <si>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</si>
  <si>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</si>
  <si>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</si>
  <si>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</si>
  <si>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</si>
  <si>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</si>
  <si>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</si>
  <si>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</si>
  <si>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</si>
  <si>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</si>
  <si>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</si>
  <si>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</si>
  <si>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</si>
  <si>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</si>
  <si>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</si>
  <si>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</si>
  <si>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</si>
  <si>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</si>
  <si>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</si>
  <si>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</si>
  <si>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</si>
  <si>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</si>
  <si>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</si>
  <si>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</si>
  <si>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</si>
  <si>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</si>
  <si>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</si>
  <si>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</si>
  <si>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</si>
  <si>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</si>
  <si>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</si>
  <si>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2650-1</t>
  </si>
  <si>
    <t>VENTUNO PRODUTO</t>
  </si>
  <si>
    <t>MARLON MARQUES</t>
  </si>
  <si>
    <t>PERSONALIZADO_L</t>
  </si>
  <si>
    <t>CTE NORMAL</t>
  </si>
  <si>
    <t>JOINVILLE - SC</t>
  </si>
  <si>
    <t>VANDERLEI MONTIBELLER</t>
  </si>
  <si>
    <t>INDEFINIDO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</si>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</sst>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[Analise_VANDERLEI_26082026.xlsx]Resumo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127.30000000000007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[Analise_VANDERLEI_26082026.xlsx]Resumo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127.30000000000007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5.59531898148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73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6T00:00:00" maxDate="2026-08-27T00:00:00"/>
    </cacheField>
    <cacheField name="DATA" numFmtId="14">
      <sharedItems containsNonDate="0" containsDate="1" containsString="0" containsBlank="1" minDate="2026-08-26T00:00:00" maxDate="2026-08-2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VENTUNO PRODUT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29588.80000000005" maxValue="529588.80000000005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3300" maxValue="3300"/>
    </cacheField>
    <cacheField name="VOLUMES" numFmtId="0">
      <sharedItems containsString="0" containsBlank="1" containsNumber="1" containsInteger="1" minValue="720" maxValue="720"/>
    </cacheField>
    <cacheField name="PESO" numFmtId="0">
      <sharedItems containsString="0" containsBlank="1" containsNumber="1" containsInteger="1" minValue="21816" maxValue="21816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1500" maxValue="15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561" maxValue="56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11.84" maxValue="211.84"/>
    </cacheField>
    <cacheField name="OUTROS" numFmtId="0">
      <sharedItems containsString="0" containsBlank="1" containsNumber="1" minValue="371.86" maxValue="371.86"/>
    </cacheField>
    <cacheField name="C.TOTAL" numFmtId="0">
      <sharedItems containsString="0" containsBlank="1" containsNumber="1" minValue="2644.7" maxValue="2644.7"/>
    </cacheField>
    <cacheField name="RECEITA" numFmtId="0">
      <sharedItems containsString="0" containsBlank="1" containsNumber="1" minValue="655.29999999999995" maxValue="655.29999999999995"/>
    </cacheField>
    <cacheField name="IMPOSTO" numFmtId="0">
      <sharedItems containsString="0" containsBlank="1" containsNumber="1" containsInteger="1" minValue="528" maxValue="528"/>
    </cacheField>
    <cacheField name="RESULTADO" numFmtId="0">
      <sharedItems containsString="0" containsBlank="1" containsNumber="1" minValue="127.3" maxValue="127.3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127.3" maxValue="127.3"/>
    </cacheField>
    <cacheField name="MARGEM" numFmtId="10">
      <sharedItems containsString="0" containsBlank="1" containsNumber="1" minValue="3.8599999999999995E-2" maxValue="3.8599999999999995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26T00:00:00"/>
    <d v="2026-08-26T00:00:00"/>
    <m/>
    <s v="2650-1"/>
    <x v="0"/>
    <s v="MARLON MARQUES"/>
    <n v="529588.80000000005"/>
    <x v="0"/>
    <s v="CTE NORMAL"/>
    <s v="JOINVILLE - SC"/>
    <n v="3300"/>
    <n v="720"/>
    <n v="21816"/>
    <s v="MATRIZ"/>
    <n v="0"/>
    <s v="VANDERLEI MONTIBELLER"/>
    <n v="1500"/>
    <s v="INDEFINIDO"/>
    <n v="0"/>
    <n v="561"/>
    <n v="0"/>
    <n v="0"/>
    <n v="211.84"/>
    <n v="371.86"/>
    <n v="2644.7"/>
    <n v="655.29999999999995"/>
    <n v="528"/>
    <n v="127.3"/>
    <n v="0"/>
    <n v="127.3"/>
    <n v="3.8599999999999995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2"/>
        <item m="1" x="241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7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x="0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81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2"/>
        <item m="1" x="241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7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x="0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81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9" s="1" nd="1"/>
        <i x="187" s="1" nd="1"/>
        <i x="273" s="1" nd="1"/>
        <i x="11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8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5" s="1" nd="1"/>
        <i x="232" s="1" nd="1"/>
        <i x="241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7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6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2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366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0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3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7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758" s="1" nd="1"/>
        <i x="600" s="1" nd="1"/>
        <i x="12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2738</v>
      </c>
      <c r="B2" s="12" t="s">
        <v>579</v>
      </c>
      <c r="C2" s="14">
        <v>46260</v>
      </c>
      <c r="D2" s="14">
        <v>46260</v>
      </c>
      <c r="E2" s="12"/>
      <c r="F2" s="15" t="s">
        <v>580</v>
      </c>
      <c r="G2" s="15" t="s">
        <v>581</v>
      </c>
      <c r="H2" s="15" t="s">
        <v>582</v>
      </c>
      <c r="I2" s="16">
        <v>529588.80000000005</v>
      </c>
      <c r="J2" s="15" t="s">
        <v>583</v>
      </c>
      <c r="K2" s="15" t="s">
        <v>584</v>
      </c>
      <c r="L2" s="15" t="s">
        <v>585</v>
      </c>
      <c r="M2" s="15">
        <v>3300</v>
      </c>
      <c r="N2" s="15">
        <v>720</v>
      </c>
      <c r="O2" s="16">
        <v>21816</v>
      </c>
      <c r="P2" s="15" t="s">
        <v>579</v>
      </c>
      <c r="Q2" s="15">
        <v>0</v>
      </c>
      <c r="R2" s="15" t="s">
        <v>586</v>
      </c>
      <c r="S2" s="15">
        <v>1500</v>
      </c>
      <c r="T2" s="15" t="s">
        <v>587</v>
      </c>
      <c r="U2" s="15">
        <v>0</v>
      </c>
      <c r="V2" s="15">
        <v>561</v>
      </c>
      <c r="W2" s="15">
        <v>0</v>
      </c>
      <c r="X2" s="15">
        <v>0</v>
      </c>
      <c r="Y2" s="15">
        <v>211.84</v>
      </c>
      <c r="Z2" s="15">
        <v>371.86</v>
      </c>
      <c r="AA2" s="15">
        <v>2644.7</v>
      </c>
      <c r="AB2" s="15">
        <v>655.29999999999995</v>
      </c>
      <c r="AC2" s="15">
        <v>528</v>
      </c>
      <c r="AD2" s="15">
        <v>127.3</v>
      </c>
      <c r="AE2" s="15">
        <v>0</v>
      </c>
      <c r="AF2" s="15">
        <v>127.3</v>
      </c>
      <c r="AG2" s="17">
        <v>3.8599999999999995E-2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3300</v>
      </c>
      <c r="F3" s="89"/>
      <c r="G3" s="90"/>
      <c r="H3" s="133">
        <f>'Resumo Detalhado'!C2</f>
        <v>21816</v>
      </c>
      <c r="I3" s="134"/>
      <c r="J3" s="135">
        <f>E3/H3</f>
        <v>0.15126512651265125</v>
      </c>
      <c r="K3" s="136"/>
      <c r="L3" s="137"/>
      <c r="M3" s="138" t="s">
        <v>41</v>
      </c>
      <c r="N3" s="89"/>
      <c r="O3" s="90"/>
      <c r="P3" s="106">
        <v>22000</v>
      </c>
      <c r="Q3" s="107"/>
      <c r="R3" s="108"/>
      <c r="S3" s="103">
        <f>MIN(H3/P3,1)</f>
        <v>0.99163636363636365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1500</v>
      </c>
      <c r="F7" s="112"/>
      <c r="G7" s="112"/>
      <c r="H7" s="112"/>
      <c r="I7" s="112"/>
      <c r="J7" s="112">
        <f>E7/H3</f>
        <v>6.8756875687568761E-2</v>
      </c>
      <c r="K7" s="112"/>
      <c r="L7" s="112"/>
      <c r="M7" s="130">
        <f>E7/E3</f>
        <v>0.45454545454545453</v>
      </c>
      <c r="N7" s="130"/>
      <c r="O7" s="130"/>
      <c r="P7" s="112">
        <f>E11+K11+Q11+E15+K15+Q15+E19+H19+K19</f>
        <v>3436.7000000000003</v>
      </c>
      <c r="Q7" s="112"/>
      <c r="R7" s="112"/>
      <c r="S7" s="112">
        <f>P7/H3</f>
        <v>0.15753116978364504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1500</v>
      </c>
      <c r="L11" s="90"/>
      <c r="M11" s="38"/>
      <c r="N11" s="88">
        <f>K11/H3</f>
        <v>6.8756875687568761E-2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561</v>
      </c>
      <c r="F15" s="119"/>
      <c r="G15" s="119"/>
      <c r="H15" s="119"/>
      <c r="I15" s="132"/>
      <c r="J15" s="38"/>
      <c r="K15" s="113">
        <f>'Resumo Detalhado'!K2+'Resumo Detalhado'!L2</f>
        <v>528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211.84</v>
      </c>
      <c r="F19" s="120"/>
      <c r="G19" s="38"/>
      <c r="H19" s="122">
        <f>'Resumo Detalhado'!J2</f>
        <v>371.86</v>
      </c>
      <c r="I19" s="123"/>
      <c r="J19" s="38"/>
      <c r="K19" s="122">
        <f>'Resumo Detalhado'!L2</f>
        <v>264</v>
      </c>
      <c r="L19" s="123"/>
      <c r="M19" s="38"/>
      <c r="N19" s="121" t="s">
        <v>210</v>
      </c>
      <c r="O19" s="119"/>
      <c r="P19" s="119"/>
      <c r="Q19" s="119"/>
      <c r="R19" s="120"/>
      <c r="S19" s="121">
        <f>_xlfn.XLOOKUP(N19,Target!C:C,Target!D:D)</f>
        <v>1500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127.30000000000007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3.8575757575757597E-2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588</v>
      </c>
      <c r="F1" s="29"/>
    </row>
    <row r="2" spans="1:18" x14ac:dyDescent="0.3">
      <c r="B2" s="29">
        <f>SUM(B6:B5000)</f>
        <v>3300</v>
      </c>
      <c r="C2" s="29">
        <f>SUM(C6:C5000)</f>
        <v>21816</v>
      </c>
      <c r="D2" s="29">
        <f>SUM(D6:D5000)</f>
        <v>0</v>
      </c>
      <c r="E2" s="29">
        <f>SUM(E6:E5000)</f>
        <v>1500</v>
      </c>
      <c r="F2" s="29">
        <f>SUM(F6:F5000)</f>
        <v>0</v>
      </c>
      <c r="G2" s="29"/>
      <c r="H2" s="29">
        <f t="shared" ref="H2:P2" si="0">SUM(H6:H5000)</f>
        <v>561</v>
      </c>
      <c r="I2" s="29">
        <f t="shared" si="0"/>
        <v>211.84</v>
      </c>
      <c r="J2" s="29">
        <f t="shared" si="0"/>
        <v>371.86</v>
      </c>
      <c r="K2" s="29">
        <f t="shared" si="0"/>
        <v>264</v>
      </c>
      <c r="L2" s="29">
        <f t="shared" si="0"/>
        <v>264</v>
      </c>
      <c r="M2" s="29">
        <f t="shared" si="0"/>
        <v>0</v>
      </c>
      <c r="N2" s="29">
        <f t="shared" si="0"/>
        <v>127.30000000000007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2738</v>
      </c>
      <c r="B6" s="140">
        <v>3300</v>
      </c>
      <c r="C6" s="141">
        <v>21816</v>
      </c>
      <c r="D6" s="140">
        <v>0</v>
      </c>
      <c r="E6" s="140">
        <v>1500</v>
      </c>
      <c r="F6" s="140">
        <v>0</v>
      </c>
      <c r="G6" s="142">
        <v>0.45454545454545453</v>
      </c>
      <c r="H6" s="140">
        <v>561</v>
      </c>
      <c r="I6" s="140">
        <v>211.84</v>
      </c>
      <c r="J6" s="140">
        <v>371.86</v>
      </c>
      <c r="K6" s="140">
        <v>264</v>
      </c>
      <c r="L6" s="140">
        <v>264</v>
      </c>
      <c r="M6" s="140">
        <v>0</v>
      </c>
      <c r="N6" s="140">
        <v>127.30000000000007</v>
      </c>
      <c r="O6" s="142">
        <v>3.8575757575757597E-2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588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3300</v>
      </c>
      <c r="C5" s="10">
        <v>127.30000000000007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2026-08-31T17:17:22Z</dcterms:modified>
  <cp:category/>
  <cp:contentStatus/>
</cp:coreProperties>
</file>