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C6D1B2C-3275-4BAD-BF4D-E39F8763B1A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<sst xmlns="http://schemas.openxmlformats.org/spreadsheetml/2006/main" count="914" uniqueCount="632">
  <si>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</si>
  <si>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</si>
  <si>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</si>
  <si>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</si>
  <si>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</si>
  <si>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</si>
  <si>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</si>
  <si>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</si>
  <si>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</si>
  <si>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</si>
  <si>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</si>
  <si>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</si>
  <si>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</si>
  <si>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</si>
  <si>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</si>
  <si>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</si>
  <si>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</si>
  <si>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</si>
  <si>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</si>
  <si>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</si>
  <si>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</si>
  <si>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</si>
  <si>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</si>
  <si>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</si>
  <si>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</si>
  <si>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</si>
  <si>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</si>
  <si>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</si>
  <si>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</si>
  <si>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</si>
  <si>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</si>
  <si>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</si>
  <si>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</si>
  <si>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</si>
  <si>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</si>
  <si>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</si>
  <si>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</si>
  <si>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</si>
  <si>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</si>
  <si>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</si>
  <si>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</si>
  <si>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</si>
  <si>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</si>
  <si>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</si>
  <si>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</si>
  <si>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</si>
  <si>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</si>
  <si>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</si>
  <si>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</si>
  <si>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</si>
  <si>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</si>
  <si>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</si>
  <si>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</si>
  <si>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</si>
  <si>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</si>
  <si>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</si>
  <si>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</si>
  <si>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</si>
  <si>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</si>
  <si>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</si>
  <si>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</si>
  <si>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</si>
  <si>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</si>
  <si>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</si>
  <si>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</si>
  <si>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</si>
  <si>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</si>
  <si>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</si>
  <si>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</si>
  <si>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</si>
  <si>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</si>
  <si>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</si>
  <si>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</si>
  <si>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</si>
  <si>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</si>
  <si>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</si>
  <si>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</si>
  <si>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</si>
  <si>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</si>
  <si>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</si>
  <si>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</si>
  <si>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</si>
  <si>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</si>
  <si>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</si>
  <si>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</si>
  <si>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</si>
  <si>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</si>
  <si>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</si>
  <si>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</si>
  <si>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</si>
  <si>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</si>
  <si>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</si>
  <si>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</si>
  <si>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</si>
  <si>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</si>
  <si>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</si>
  <si>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</si>
  <si>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</si>
  <si>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</si>
  <si>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</si>
  <si>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</si>
  <si>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</si>
  <si>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</si>
  <si>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</si>
  <si>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</si>
  <si>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</si>
  <si>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</si>
  <si>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</si>
  <si>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</si>
  <si>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</si>
  <si>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</si>
  <si>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</si>
  <si>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</si>
  <si>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</si>
  <si>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</si>
  <si>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</si>
  <si>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</si>
  <si>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</si>
  <si>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</si>
  <si>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</si>
  <si>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</si>
  <si>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</si>
  <si>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</si>
  <si>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</si>
  <si>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</si>
  <si>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</si>
  <si>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</si>
  <si>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</si>
  <si>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</si>
  <si>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</si>
  <si>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</si>
  <si>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</si>
  <si>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</si>
  <si>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</si>
  <si>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</si>
  <si>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</si>
  <si>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</si>
  <si>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</si>
  <si>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</si>
  <si>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</si>
  <si>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</si>
  <si>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</si>
  <si>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</si>
  <si>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</si>
  <si>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</si>
  <si>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</si>
  <si>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</si>
  <si>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</si>
  <si>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</si>
  <si>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</si>
  <si>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</si>
  <si>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</si>
  <si>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</si>
  <si>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</si>
  <si>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</si>
  <si>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</si>
  <si>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</si>
  <si>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</si>
  <si>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</si>
  <si>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</si>
  <si>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</si>
  <si>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</si>
  <si>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</si>
  <si>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</si>
  <si>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</si>
  <si>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</si>
  <si>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</si>
  <si>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</si>
  <si>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</si>
  <si>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</si>
  <si>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</si>
  <si>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</si>
  <si>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</si>
  <si>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</si>
  <si>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</si>
  <si>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</si>
  <si>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</si>
  <si>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</si>
  <si>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</si>
  <si>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</si>
  <si>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</si>
  <si>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</si>
  <si>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</si>
  <si>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</si>
  <si>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</si>
  <si>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</si>
  <si>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</si>
  <si>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</si>
  <si>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</si>
  <si>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</si>
  <si>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</si>
  <si>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</si>
  <si>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</si>
  <si>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</si>
  <si>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</si>
  <si>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</si>
  <si>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</si>
  <si>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</si>
  <si>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</si>
  <si>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</si>
  <si>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</si>
  <si>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</si>
  <si>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</si>
  <si>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</si>
  <si>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</si>
  <si>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</si>
  <si>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</si>
  <si>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</si>
  <si>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</si>
  <si>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</si>
  <si>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</si>
  <si>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</si>
  <si>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</si>
  <si>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</si>
  <si>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</si>
  <si>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</si>
  <si>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</si>
  <si>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</si>
  <si>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</si>
  <si>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</si>
  <si>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</si>
  <si>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</si>
  <si>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</si>
  <si>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</si>
  <si>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</si>
  <si>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</si>
  <si>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</si>
  <si>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</si>
  <si>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</si>
  <si>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</si>
  <si>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</si>
  <si>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</si>
  <si>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</si>
  <si>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</si>
  <si>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</si>
  <si>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</si>
  <si>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</si>
  <si>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</si>
  <si>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</si>
  <si>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</si>
  <si>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</si>
  <si>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</si>
  <si>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</si>
  <si>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</si>
  <si>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</si>
  <si>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</si>
  <si>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</si>
  <si>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</si>
  <si>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</si>
  <si>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</si>
  <si>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</si>
  <si>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</si>
  <si>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</si>
  <si>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</si>
  <si>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</si>
  <si>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</si>
  <si>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</si>
  <si>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</si>
  <si>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</si>
  <si>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</si>
  <si>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</si>
  <si>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</si>
  <si>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</si>
  <si>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</si>
  <si>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</si>
  <si>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</si>
  <si>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</si>
  <si>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</si>
  <si>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</si>
  <si>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</si>
  <si>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</si>
  <si>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</si>
  <si>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</si>
  <si>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</si>
  <si>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</si>
  <si>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</si>
  <si>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</si>
  <si>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</si>
  <si>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</si>
  <si>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</si>
  <si>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</si>
  <si>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</si>
  <si>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</si>
  <si>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</si>
  <si>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</si>
  <si>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</si>
  <si>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</si>
  <si>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</si>
  <si>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</si>
  <si>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</si>
  <si>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</si>
  <si>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</si>
  <si>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</si>
  <si>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</si>
  <si>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</si>
  <si>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</si>
  <si>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</si>
  <si>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</si>
  <si>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</si>
  <si>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</si>
  <si>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</si>
  <si>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</si>
  <si>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</si>
  <si>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</si>
  <si>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</si>
  <si>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</si>
  <si>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</si>
  <si>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</si>
  <si>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</si>
  <si>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</si>
  <si>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</si>
  <si>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</si>
  <si>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</si>
  <si>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</si>
  <si>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</si>
  <si>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</si>
  <si>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</si>
  <si>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</si>
  <si>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</si>
  <si>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</si>
  <si>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</si>
  <si>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</si>
  <si>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</si>
  <si>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</si>
  <si>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</si>
  <si>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</si>
  <si>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</si>
  <si>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</si>
  <si>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</si>
  <si>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</si>
  <si>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</si>
  <si>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</si>
  <si>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</si>
  <si>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</si>
  <si>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</si>
  <si>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</si>
  <si>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</si>
  <si>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</si>
  <si>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</si>
  <si>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</si>
  <si>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</si>
  <si>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</si>
  <si>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</si>
  <si>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</si>
  <si>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</si>
  <si>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</si>
  <si>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</si>
  <si>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</si>
  <si>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</si>
  <si>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</si>
  <si>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</si>
  <si>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</si>
  <si>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</si>
  <si>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</si>
  <si>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</si>
  <si>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</si>
  <si>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</si>
  <si>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</si>
  <si>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</si>
  <si>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</si>
  <si>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</si>
  <si>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</si>
  <si>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</si>
  <si>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</si>
  <si>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</si>
  <si>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</si>
  <si>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</si>
  <si>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</si>
  <si>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</si>
  <si>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</si>
  <si>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</si>
  <si>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</si>
  <si>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</si>
  <si>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</si>
  <si>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</si>
  <si>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</si>
  <si>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</si>
  <si>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</si>
  <si>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</si>
  <si>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</si>
  <si>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</si>
  <si>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</si>
  <si>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</si>
  <si>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</si>
  <si>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</si>
  <si>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</si>
  <si>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</si>
  <si>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</si>
  <si>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</si>
  <si>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</si>
  <si>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</si>
  <si>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</si>
  <si>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</si>
  <si>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</si>
  <si>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</si>
  <si>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</si>
  <si>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</si>
  <si>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</si>
  <si>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</si>
  <si>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</si>
  <si>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</si>
  <si>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</si>
  <si>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</si>
  <si>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</si>
  <si>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</si>
  <si>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</si>
  <si>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</si>
  <si>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</si>
  <si>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</si>
  <si>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</si>
  <si>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</si>
  <si>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</si>
  <si>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</si>
  <si>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</si>
  <si>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</si>
  <si>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</si>
  <si>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</si>
  <si>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</si>
  <si>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</si>
  <si>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</si>
  <si>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</si>
  <si>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</si>
  <si>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</si>
  <si>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</si>
  <si>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</si>
  <si>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</si>
  <si>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</si>
  <si>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</si>
  <si>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</si>
  <si>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</si>
  <si>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</si>
  <si>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</si>
  <si>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</si>
  <si>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</si>
  <si>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</si>
  <si>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</si>
  <si>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</si>
  <si>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</si>
  <si>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</si>
  <si>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</si>
  <si>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</si>
  <si>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</si>
  <si>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</si>
  <si>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</si>
  <si>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</si>
  <si>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</si>
  <si>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</si>
  <si>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</si>
  <si>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</si>
  <si>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</si>
  <si>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</si>
  <si>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</si>
  <si>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</si>
  <si>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</si>
  <si>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</si>
  <si>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</si>
  <si>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</si>
  <si>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</si>
  <si>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</si>
  <si>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</si>
  <si>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</si>
  <si>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</si>
  <si>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</si>
  <si>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</si>
  <si>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</si>
  <si>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</si>
  <si>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</si>
  <si>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</si>
  <si>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</si>
  <si>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</si>
  <si>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</si>
  <si>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</si>
  <si>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</si>
  <si>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</si>
  <si>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</si>
  <si>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</si>
  <si>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</si>
  <si>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</si>
  <si>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</si>
  <si>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</si>
  <si>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</si>
  <si>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</si>
  <si>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</si>
  <si>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</si>
  <si>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</si>
  <si>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</si>
  <si>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</si>
  <si>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</si>
  <si>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</si>
  <si>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</si>
  <si>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</si>
  <si>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</si>
  <si>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</si>
  <si>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</si>
  <si>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</si>
  <si>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</si>
  <si>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</si>
  <si>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</si>
  <si>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</si>
  <si>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</si>
  <si>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</si>
  <si>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</si>
  <si>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</si>
  <si>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</si>
  <si>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</si>
  <si>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</si>
  <si>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</si>
  <si>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</si>
  <si>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</si>
  <si>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</si>
  <si>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</si>
  <si>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</si>
  <si>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</si>
  <si>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</si>
  <si>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</si>
  <si>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</si>
  <si>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</si>
  <si>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</si>
  <si>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</si>
  <si>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</si>
  <si>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</si>
  <si>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</si>
  <si>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</si>
  <si>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</si>
  <si>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</si>
  <si>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</si>
  <si>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</si>
  <si>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</si>
  <si>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</si>
  <si>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</si>
  <si>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</si>
  <si>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</si>
  <si>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</si>
  <si>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</si>
  <si>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</si>
  <si>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</si>
  <si>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</si>
  <si>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</si>
  <si>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</si>
  <si>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</si>
  <si>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</si>
  <si>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</si>
  <si>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</si>
  <si>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</si>
  <si>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</si>
  <si>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</si>
  <si>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</si>
  <si>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</si>
  <si>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</si>
  <si>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</si>
  <si>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</si>
  <si>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</si>
  <si>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</si>
  <si>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</si>
  <si>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</si>
  <si>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</si>
  <si>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</si>
  <si>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</si>
  <si>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</si>
  <si>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</si>
  <si>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</si>
  <si>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</si>
  <si>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</si>
  <si>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</si>
  <si>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</si>
  <si>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</si>
  <si>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</si>
  <si>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</si>
  <si>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</si>
  <si>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</si>
  <si>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</si>
  <si>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</si>
  <si>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</si>
  <si>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</si>
  <si>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</si>
  <si>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</si>
  <si>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</si>
  <si>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</si>
  <si>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</si>
  <si>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</si>
  <si>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</si>
  <si>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</si>
  <si>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</si>
  <si>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</si>
  <si>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</si>
  <si>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</si>
  <si>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</si>
  <si>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</si>
  <si>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</si>
  <si>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</si>
  <si>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</si>
  <si>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</si>
  <si>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</si>
  <si>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</si>
  <si>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</si>
  <si>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</si>
  <si>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</si>
  <si>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</si>
  <si>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</si>
  <si>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</si>
  <si>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</si>
  <si>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</si>
  <si>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</si>
  <si>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</si>
  <si>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</si>
  <si>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</si>
  <si>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</si>
  <si>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</si>
  <si>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</si>
  <si>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</si>
  <si>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</si>
  <si>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</si>
  <si>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</si>
  <si>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</si>
  <si>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</si>
  <si>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</si>
  <si>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</si>
  <si>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38316-1</t>
  </si>
  <si>
    <t>HERCULES EQUIPA</t>
  </si>
  <si>
    <t>MARLON MARQUES</t>
  </si>
  <si>
    <t>EXPRESSO_250</t>
  </si>
  <si>
    <t>CTE NORMAL</t>
  </si>
  <si>
    <t>GARUVA - SC</t>
  </si>
  <si>
    <t>BRUNO RODRIGUES DA COSTA</t>
  </si>
  <si>
    <t>GABRIEL RIZZI MENEZES</t>
  </si>
  <si>
    <t>38398-1</t>
  </si>
  <si>
    <t>GEO AGRI TECNOL</t>
  </si>
  <si>
    <t>URIEL CORREA</t>
  </si>
  <si>
    <t>PERSONALIZADO_L</t>
  </si>
  <si>
    <t>ITAJAI - SC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</si>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</sst>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[Analise_VICTORIA_05102026.xlsx]Resumo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GEO AGRI TECNOL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3737.86</c:v>
                </c:pt>
                <c:pt idx="1">
                  <c:v>115.39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GEO AGRI TECNOL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2462.5412000000001</c:v>
                </c:pt>
                <c:pt idx="1">
                  <c:v>79.618800000000007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[Analise_VICTORIA_05102026.xlsx]Resumo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GEO AGRI TECNOL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3737.86</c:v>
                </c:pt>
                <c:pt idx="1">
                  <c:v>115.39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GEO AGRI TECNOL</c:v>
                </c:pt>
                <c:pt idx="1">
                  <c:v>HERCULES EQUIPA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2462.5412000000001</c:v>
                </c:pt>
                <c:pt idx="1">
                  <c:v>79.618800000000007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153083333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001" count="8000">
        <n v="303884"/>
        <n v="30400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1T00:00:00" maxDate="2026-10-03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66322" maxValue="66334"/>
    </cacheField>
    <cacheField name="CT-E" numFmtId="0">
      <sharedItems containsBlank="1"/>
    </cacheField>
    <cacheField name="CLIENTE TOMADOR" numFmtId="0">
      <sharedItems containsBlank="1" count="855">
        <s v="HERCULES EQUIPA"/>
        <s v="GEO AGRI TECNO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18.04" maxValue="68708.31"/>
    </cacheField>
    <cacheField name="SERVICO" numFmtId="0">
      <sharedItems containsBlank="1" count="27">
        <s v="EXPRESSO_250"/>
        <s v="PERSONALIZADO_L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5.39" maxValue="3737.86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13" maxValue="219.7"/>
    </cacheField>
    <cacheField name="RESP. COLETA" numFmtId="0">
      <sharedItems containsBlank="1"/>
    </cacheField>
    <cacheField name="CUSTO COLETA" numFmtId="0">
      <sharedItems containsString="0" containsBlank="1" containsNumber="1" minValue="11.93" maxValue="493.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.85" maxValue="448.5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6" maxValue="34.3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2.4" maxValue="3242.21"/>
    </cacheField>
    <cacheField name="RECEITA" numFmtId="0">
      <sharedItems containsString="0" containsBlank="1" containsNumber="1" minValue="-47.01" maxValue="495.65"/>
    </cacheField>
    <cacheField name="IMPOSTO" numFmtId="0">
      <sharedItems containsString="0" containsBlank="1" containsNumber="1" minValue="30" maxValue="971.84"/>
    </cacheField>
    <cacheField name="RESULTADO" numFmtId="0">
      <sharedItems containsString="0" containsBlank="1" containsNumber="1" minValue="-574.87" maxValue="-77.01000000000000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74.87" maxValue="-77.010000000000005"/>
    </cacheField>
    <cacheField name="MARGEM" numFmtId="10">
      <sharedItems containsString="0" containsBlank="1" containsNumber="1" minValue="-0.66739999999999999" maxValue="-0.1538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10-01T00:00:00"/>
    <d v="2026-10-01T00:00:00"/>
    <n v="66322"/>
    <s v="38316-1"/>
    <x v="0"/>
    <s v="MARLON MARQUES"/>
    <n v="1518.04"/>
    <x v="0"/>
    <s v="CTE NORMAL"/>
    <s v="GARUVA - SC"/>
    <n v="115.39"/>
    <n v="1"/>
    <n v="13"/>
    <s v="FILIAL SP"/>
    <n v="11.93"/>
    <s v="BRUNO RODRIGUES DA COSTA"/>
    <n v="0"/>
    <s v="GABRIEL RIZZI MENEZES"/>
    <n v="0"/>
    <n v="13.85"/>
    <n v="0"/>
    <n v="0"/>
    <n v="0.76"/>
    <n v="0"/>
    <n v="162.4"/>
    <n v="-47.01"/>
    <n v="30"/>
    <n v="-77.010000000000005"/>
    <n v="0"/>
    <n v="-77.010000000000005"/>
    <n v="-0.66739999999999999"/>
    <m/>
  </r>
  <r>
    <x v="1"/>
    <s v="FILIAL SP"/>
    <d v="2026-10-02T00:00:00"/>
    <d v="2026-10-02T00:00:00"/>
    <n v="66334"/>
    <s v="38398-1"/>
    <x v="1"/>
    <s v="URIEL CORREA"/>
    <n v="68708.31"/>
    <x v="1"/>
    <s v="CTE NORMAL"/>
    <s v="ITAJAI - SC"/>
    <n v="3737.86"/>
    <n v="1"/>
    <n v="219.7"/>
    <s v="FILIAL SP"/>
    <n v="493.4"/>
    <s v="N/D"/>
    <n v="0"/>
    <s v="GABRIEL RIZZI MENEZES"/>
    <n v="0"/>
    <n v="448.54"/>
    <n v="0"/>
    <n v="0"/>
    <n v="34.35"/>
    <n v="0"/>
    <n v="3242.21"/>
    <n v="495.65"/>
    <n v="971.84"/>
    <n v="-574.87"/>
    <n v="0"/>
    <n v="-574.87"/>
    <n v="-0.1538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9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x="1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x="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4"/>
        <item m="1" x="49"/>
        <item m="1" x="90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08"/>
    </i>
    <i r="1">
      <x v="7999"/>
    </i>
    <i>
      <x v="34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9"/>
        <item m="1" x="160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x="1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x="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3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69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3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4"/>
        <item m="1" x="49"/>
        <item m="1" x="90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08"/>
    </i>
    <i>
      <x v="34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4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6" s="1" nd="1"/>
        <i x="272" s="1" nd="1"/>
        <i x="12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1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6" s="1" nd="1"/>
        <i x="293" s="1" nd="1"/>
        <i x="601" s="1" nd="1"/>
        <i x="205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4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5" s="1" nd="1"/>
        <i x="133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1" s="1" nd="1"/>
        <i x="253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69" s="1" nd="1"/>
        <i x="584" s="1" nd="1"/>
        <i x="803" s="1" nd="1"/>
        <i x="791" s="1" nd="1"/>
        <i x="199" s="1" nd="1"/>
        <i x="151" s="1" nd="1"/>
        <i x="235" s="1" nd="1"/>
        <i x="502" s="1" nd="1"/>
        <i x="786" s="1" nd="1"/>
        <i x="258" s="1" nd="1"/>
        <i x="752" s="1" nd="1"/>
        <i x="128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3" s="1" nd="1"/>
        <i x="345" s="1" nd="1"/>
        <i x="119" s="1" nd="1"/>
        <i x="289" s="1" nd="1"/>
        <i x="198" s="1" nd="1"/>
        <i x="204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0" s="1" nd="1"/>
        <i x="156" s="1" nd="1"/>
        <i x="55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9" s="1" nd="1"/>
        <i x="4" s="1" nd="1"/>
        <i x="49" s="1" nd="1"/>
        <i x="90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303884</v>
      </c>
      <c r="B2" s="12" t="s">
        <v>616</v>
      </c>
      <c r="C2" s="14">
        <v>46296</v>
      </c>
      <c r="D2" s="14">
        <v>46296</v>
      </c>
      <c r="E2" s="12">
        <v>66322</v>
      </c>
      <c r="F2" s="15" t="s">
        <v>617</v>
      </c>
      <c r="G2" s="15" t="s">
        <v>618</v>
      </c>
      <c r="H2" s="15" t="s">
        <v>619</v>
      </c>
      <c r="I2" s="16">
        <v>1518.04</v>
      </c>
      <c r="J2" s="15" t="s">
        <v>620</v>
      </c>
      <c r="K2" s="15" t="s">
        <v>621</v>
      </c>
      <c r="L2" s="15" t="s">
        <v>622</v>
      </c>
      <c r="M2" s="15">
        <v>115.39</v>
      </c>
      <c r="N2" s="15">
        <v>1</v>
      </c>
      <c r="O2" s="16">
        <v>13</v>
      </c>
      <c r="P2" s="15" t="s">
        <v>616</v>
      </c>
      <c r="Q2" s="15">
        <v>11.93</v>
      </c>
      <c r="R2" s="15" t="s">
        <v>623</v>
      </c>
      <c r="S2" s="15">
        <v>0</v>
      </c>
      <c r="T2" s="15" t="s">
        <v>624</v>
      </c>
      <c r="U2" s="15">
        <v>0</v>
      </c>
      <c r="V2" s="15">
        <v>13.85</v>
      </c>
      <c r="W2" s="15">
        <v>0</v>
      </c>
      <c r="X2" s="15">
        <v>0</v>
      </c>
      <c r="Y2" s="15">
        <v>0.76</v>
      </c>
      <c r="Z2" s="15">
        <v>0</v>
      </c>
      <c r="AA2" s="15">
        <v>162.4</v>
      </c>
      <c r="AB2" s="15">
        <v>-47.01</v>
      </c>
      <c r="AC2" s="15">
        <v>30</v>
      </c>
      <c r="AD2" s="15">
        <v>-77.010000000000005</v>
      </c>
      <c r="AE2" s="15">
        <v>0</v>
      </c>
      <c r="AF2" s="15">
        <v>-77.010000000000005</v>
      </c>
      <c r="AG2" s="17">
        <v>-0.66739999999999999</v>
      </c>
      <c r="AH2" s="15"/>
    </row>
    <row r="3" spans="1:34" s="1" customFormat="1" ht="12" customHeight="1" x14ac:dyDescent="0.3">
      <c r="A3" s="13">
        <v>304001</v>
      </c>
      <c r="B3" s="12" t="s">
        <v>616</v>
      </c>
      <c r="C3" s="14">
        <v>46297</v>
      </c>
      <c r="D3" s="14">
        <v>46297</v>
      </c>
      <c r="E3" s="12">
        <v>66334</v>
      </c>
      <c r="F3" s="15" t="s">
        <v>625</v>
      </c>
      <c r="G3" s="15" t="s">
        <v>626</v>
      </c>
      <c r="H3" s="15" t="s">
        <v>627</v>
      </c>
      <c r="I3" s="16">
        <v>68708.31</v>
      </c>
      <c r="J3" s="15" t="s">
        <v>628</v>
      </c>
      <c r="K3" s="15" t="s">
        <v>621</v>
      </c>
      <c r="L3" s="15" t="s">
        <v>629</v>
      </c>
      <c r="M3" s="16">
        <v>3737.86</v>
      </c>
      <c r="N3" s="15">
        <v>1</v>
      </c>
      <c r="O3" s="16">
        <v>219.7</v>
      </c>
      <c r="P3" s="15" t="s">
        <v>616</v>
      </c>
      <c r="Q3" s="15">
        <v>493.4</v>
      </c>
      <c r="R3" s="15" t="s">
        <v>630</v>
      </c>
      <c r="S3" s="15">
        <v>0</v>
      </c>
      <c r="T3" s="15" t="s">
        <v>624</v>
      </c>
      <c r="U3" s="15">
        <v>0</v>
      </c>
      <c r="V3" s="15">
        <v>448.54</v>
      </c>
      <c r="W3" s="15">
        <v>0</v>
      </c>
      <c r="X3" s="15">
        <v>0</v>
      </c>
      <c r="Y3" s="15">
        <v>34.35</v>
      </c>
      <c r="Z3" s="15">
        <v>0</v>
      </c>
      <c r="AA3" s="16">
        <v>3242.21</v>
      </c>
      <c r="AB3" s="16">
        <v>495.65</v>
      </c>
      <c r="AC3" s="15">
        <v>971.84</v>
      </c>
      <c r="AD3" s="15">
        <v>-574.87</v>
      </c>
      <c r="AE3" s="15">
        <v>0</v>
      </c>
      <c r="AF3" s="15">
        <v>-574.87</v>
      </c>
      <c r="AG3" s="17">
        <v>-0.15380000000000002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3853.25</v>
      </c>
      <c r="F3" s="89"/>
      <c r="G3" s="90"/>
      <c r="H3" s="133">
        <f>'Resumo Detalhado'!C2</f>
        <v>232.7</v>
      </c>
      <c r="I3" s="134"/>
      <c r="J3" s="135">
        <f>E3/H3</f>
        <v>16.558874086807048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0.19391666666666665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2905.33</v>
      </c>
      <c r="F7" s="112"/>
      <c r="G7" s="112"/>
      <c r="H7" s="112"/>
      <c r="I7" s="112"/>
      <c r="J7" s="112">
        <f>E7/H3</f>
        <v>12.485302965191234</v>
      </c>
      <c r="K7" s="112"/>
      <c r="L7" s="112"/>
      <c r="M7" s="130">
        <f>E7/E3</f>
        <v>0.75399467981573998</v>
      </c>
      <c r="N7" s="130"/>
      <c r="O7" s="130"/>
      <c r="P7" s="112">
        <f>E11+K11+Q11+E15+K15+Q15+E19+H19+K19</f>
        <v>4327.6099999999997</v>
      </c>
      <c r="Q7" s="112"/>
      <c r="R7" s="112"/>
      <c r="S7" s="112">
        <f>P7/H3</f>
        <v>18.597378599054576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2400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2400</v>
      </c>
      <c r="L11" s="90"/>
      <c r="M11" s="38"/>
      <c r="N11" s="88">
        <f>K11/H3</f>
        <v>10.313708637730985</v>
      </c>
      <c r="O11" s="90"/>
      <c r="P11" s="38"/>
      <c r="Q11" s="88">
        <f>'Resumo Detalhado'!D2</f>
        <v>505.33</v>
      </c>
      <c r="R11" s="90"/>
      <c r="S11" s="38"/>
      <c r="T11" s="88">
        <f>Q11/H3</f>
        <v>2.1715943274602494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462.39000000000004</v>
      </c>
      <c r="F15" s="119"/>
      <c r="G15" s="119"/>
      <c r="H15" s="119"/>
      <c r="I15" s="132"/>
      <c r="J15" s="38"/>
      <c r="K15" s="113">
        <f>'Resumo Detalhado'!K2+'Resumo Detalhado'!L2</f>
        <v>616.52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35.11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308.26</v>
      </c>
      <c r="L19" s="123"/>
      <c r="M19" s="38"/>
      <c r="N19" s="121" t="s">
        <v>304</v>
      </c>
      <c r="O19" s="119"/>
      <c r="P19" s="119"/>
      <c r="Q19" s="119"/>
      <c r="R19" s="120"/>
      <c r="S19" s="121">
        <f>_xlfn.XLOOKUP(N19,Target!C:C,Target!D:D)</f>
        <v>2400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2542.1600000000003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0.65974437163433475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631</v>
      </c>
      <c r="F1" s="29"/>
    </row>
    <row r="2" spans="1:18" x14ac:dyDescent="0.3">
      <c r="B2" s="29">
        <f>SUM(B6:B5000)</f>
        <v>3853.25</v>
      </c>
      <c r="C2" s="29">
        <f>SUM(C6:C5000)</f>
        <v>232.7</v>
      </c>
      <c r="D2" s="29">
        <f>SUM(D6:D5000)</f>
        <v>505.33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462.39000000000004</v>
      </c>
      <c r="I2" s="29">
        <f t="shared" si="0"/>
        <v>35.11</v>
      </c>
      <c r="J2" s="29">
        <f t="shared" si="0"/>
        <v>0</v>
      </c>
      <c r="K2" s="29">
        <f t="shared" si="0"/>
        <v>308.26</v>
      </c>
      <c r="L2" s="29">
        <f t="shared" si="0"/>
        <v>308.26</v>
      </c>
      <c r="M2" s="29">
        <f t="shared" si="0"/>
        <v>0</v>
      </c>
      <c r="N2" s="29">
        <f t="shared" si="0"/>
        <v>2542.1600000000003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304001</v>
      </c>
      <c r="B6" s="140">
        <v>3737.86</v>
      </c>
      <c r="C6" s="141">
        <v>219.7</v>
      </c>
      <c r="D6" s="140">
        <v>493.4</v>
      </c>
      <c r="E6" s="140">
        <v>0</v>
      </c>
      <c r="F6" s="140">
        <v>0</v>
      </c>
      <c r="G6" s="142">
        <v>0.13200066348124326</v>
      </c>
      <c r="H6" s="140">
        <v>448.54</v>
      </c>
      <c r="I6" s="140">
        <v>34.35</v>
      </c>
      <c r="J6" s="140">
        <v>0</v>
      </c>
      <c r="K6" s="140">
        <v>299.02879999999999</v>
      </c>
      <c r="L6" s="140">
        <v>299.02879999999999</v>
      </c>
      <c r="M6" s="140">
        <v>0</v>
      </c>
      <c r="N6" s="140">
        <v>2462.5412000000001</v>
      </c>
      <c r="O6" s="142">
        <v>0.65881044233866437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303884</v>
      </c>
      <c r="B8" s="140">
        <v>115.39</v>
      </c>
      <c r="C8" s="141">
        <v>13</v>
      </c>
      <c r="D8" s="140">
        <v>11.93</v>
      </c>
      <c r="E8" s="140">
        <v>0</v>
      </c>
      <c r="F8" s="140">
        <v>0</v>
      </c>
      <c r="G8" s="142">
        <v>0.1033885085362683</v>
      </c>
      <c r="H8" s="140">
        <v>13.85</v>
      </c>
      <c r="I8" s="140">
        <v>0.76</v>
      </c>
      <c r="J8" s="140">
        <v>0</v>
      </c>
      <c r="K8" s="140">
        <v>9.2311999999999994</v>
      </c>
      <c r="L8" s="140">
        <v>9.2311999999999994</v>
      </c>
      <c r="M8" s="140">
        <v>0</v>
      </c>
      <c r="N8" s="140">
        <v>79.618800000000007</v>
      </c>
      <c r="O8" s="142">
        <v>0.68999740012132771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631</v>
      </c>
    </row>
    <row r="2" spans="1:4" x14ac:dyDescent="0.3">
      <c r="B2" s="29">
        <f>SUM(B6:B5000)</f>
        <v>115.39</v>
      </c>
      <c r="C2" s="29">
        <f>SUM(C6:C5000)</f>
        <v>79.618800000000007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626</v>
      </c>
      <c r="B5" s="10">
        <v>3737.86</v>
      </c>
      <c r="C5" s="10">
        <v>2462.5412000000001</v>
      </c>
    </row>
    <row r="6" spans="1:4" x14ac:dyDescent="0.3">
      <c r="A6" s="144" t="s">
        <v>618</v>
      </c>
      <c r="B6" s="140">
        <v>115.39</v>
      </c>
      <c r="C6" s="140">
        <v>79.618800000000007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2026-10-08T12:58:09Z</dcterms:modified>
  <cp:category/>
  <cp:contentStatus/>
</cp:coreProperties>
</file>