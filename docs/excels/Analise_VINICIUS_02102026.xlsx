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65E8C39-9BBD-4006-BBA5-D27D21022E90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8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<sst xmlns="http://schemas.openxmlformats.org/spreadsheetml/2006/main" count="914" uniqueCount="633">
  <si>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</si>
  <si>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</si>
  <si>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</si>
  <si>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</si>
  <si>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</si>
  <si>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</si>
  <si>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</si>
  <si>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</si>
  <si>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</si>
  <si>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</si>
  <si>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</si>
  <si>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</si>
  <si>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</si>
  <si>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</si>
  <si>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</si>
  <si>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</si>
  <si>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</si>
  <si>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</si>
  <si>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</si>
  <si>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</si>
  <si>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</si>
  <si>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</si>
  <si>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</si>
  <si>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</si>
  <si>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</si>
  <si>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</si>
  <si>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</si>
  <si>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</si>
  <si>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</si>
  <si>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</si>
  <si>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</si>
  <si>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</si>
  <si>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</si>
  <si>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</si>
  <si>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</si>
  <si>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</si>
  <si>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</si>
  <si>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</si>
  <si>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</si>
  <si>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</si>
  <si>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</si>
  <si>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</si>
  <si>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</si>
  <si>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</si>
  <si>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</si>
  <si>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</si>
  <si>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</si>
  <si>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</si>
  <si>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</si>
  <si>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</si>
  <si>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</si>
  <si>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</si>
  <si>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</si>
  <si>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</si>
  <si>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</si>
  <si>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</si>
  <si>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</si>
  <si>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</si>
  <si>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</si>
  <si>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</si>
  <si>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</si>
  <si>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</si>
  <si>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</si>
  <si>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</si>
  <si>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</si>
  <si>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</si>
  <si>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</si>
  <si>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</si>
  <si>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</si>
  <si>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</si>
  <si>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</si>
  <si>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</si>
  <si>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</si>
  <si>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</si>
  <si>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</si>
  <si>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</si>
  <si>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</si>
  <si>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</si>
  <si>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</si>
  <si>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</si>
  <si>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</si>
  <si>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</si>
  <si>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</si>
  <si>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</si>
  <si>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</si>
  <si>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</si>
  <si>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</si>
  <si>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</si>
  <si>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</si>
  <si>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</si>
  <si>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</si>
  <si>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</si>
  <si>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</si>
  <si>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</si>
  <si>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</si>
  <si>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</si>
  <si>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</si>
  <si>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</si>
  <si>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</si>
  <si>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</si>
  <si>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</si>
  <si>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</si>
  <si>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</si>
  <si>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</si>
  <si>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</si>
  <si>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</si>
  <si>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</si>
  <si>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</si>
  <si>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</si>
  <si>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</si>
  <si>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</si>
  <si>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</si>
  <si>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</si>
  <si>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</si>
  <si>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</si>
  <si>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</si>
  <si>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</si>
  <si>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</si>
  <si>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</si>
  <si>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</si>
  <si>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</si>
  <si>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</si>
  <si>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</si>
  <si>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</si>
  <si>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</si>
  <si>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</si>
  <si>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</si>
  <si>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</si>
  <si>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</si>
  <si>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</si>
  <si>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</si>
  <si>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</si>
  <si>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</si>
  <si>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</si>
  <si>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</si>
  <si>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</si>
  <si>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</si>
  <si>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</si>
  <si>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</si>
  <si>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</si>
  <si>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</si>
  <si>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</si>
  <si>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</si>
  <si>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</si>
  <si>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</si>
  <si>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</si>
  <si>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</si>
  <si>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</si>
  <si>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</si>
  <si>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</si>
  <si>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</si>
  <si>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</si>
  <si>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</si>
  <si>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</si>
  <si>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</si>
  <si>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</si>
  <si>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</si>
  <si>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</si>
  <si>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</si>
  <si>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</si>
  <si>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</si>
  <si>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</si>
  <si>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</si>
  <si>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</si>
  <si>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</si>
  <si>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</si>
  <si>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</si>
  <si>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</si>
  <si>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</si>
  <si>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</si>
  <si>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</si>
  <si>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</si>
  <si>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</si>
  <si>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</si>
  <si>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</si>
  <si>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</si>
  <si>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</si>
  <si>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</si>
  <si>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</si>
  <si>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</si>
  <si>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</si>
  <si>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</si>
  <si>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</si>
  <si>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</si>
  <si>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</si>
  <si>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</si>
  <si>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</si>
  <si>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</si>
  <si>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</si>
  <si>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</si>
  <si>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</si>
  <si>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</si>
  <si>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</si>
  <si>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</si>
  <si>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</si>
  <si>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</si>
  <si>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</si>
  <si>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</si>
  <si>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</si>
  <si>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</si>
  <si>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</si>
  <si>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</si>
  <si>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</si>
  <si>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</si>
  <si>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</si>
  <si>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</si>
  <si>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</si>
  <si>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</si>
  <si>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</si>
  <si>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</si>
  <si>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</si>
  <si>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</si>
  <si>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</si>
  <si>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</si>
  <si>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</si>
  <si>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</si>
  <si>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</si>
  <si>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</si>
  <si>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</si>
  <si>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</si>
  <si>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</si>
  <si>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</si>
  <si>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</si>
  <si>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</si>
  <si>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</si>
  <si>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</si>
  <si>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</si>
  <si>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</si>
  <si>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</si>
  <si>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</si>
  <si>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</si>
  <si>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</si>
  <si>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</si>
  <si>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</si>
  <si>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</si>
  <si>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</si>
  <si>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</si>
  <si>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</si>
  <si>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</si>
  <si>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</si>
  <si>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</si>
  <si>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</si>
  <si>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</si>
  <si>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</si>
  <si>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</si>
  <si>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</si>
  <si>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</si>
  <si>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</si>
  <si>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</si>
  <si>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</si>
  <si>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</si>
  <si>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</si>
  <si>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</si>
  <si>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</si>
  <si>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</si>
  <si>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</si>
  <si>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</si>
  <si>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</si>
  <si>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</si>
  <si>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</si>
  <si>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</si>
  <si>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</si>
  <si>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</si>
  <si>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</si>
  <si>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</si>
  <si>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</si>
  <si>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</si>
  <si>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</si>
  <si>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</si>
  <si>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</si>
  <si>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</si>
  <si>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</si>
  <si>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</si>
  <si>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</si>
  <si>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</si>
  <si>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</si>
  <si>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</si>
  <si>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</si>
  <si>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</si>
  <si>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</si>
  <si>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</si>
  <si>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</si>
  <si>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</si>
  <si>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</si>
  <si>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</si>
  <si>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</si>
  <si>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</si>
  <si>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</si>
  <si>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</si>
  <si>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</si>
  <si>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</si>
  <si>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</si>
  <si>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</si>
  <si>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</si>
  <si>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</si>
  <si>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</si>
  <si>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</si>
  <si>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</si>
  <si>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</si>
  <si>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</si>
  <si>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</si>
  <si>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</si>
  <si>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</si>
  <si>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</si>
  <si>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</si>
  <si>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</si>
  <si>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</si>
  <si>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</si>
  <si>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</si>
  <si>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</si>
  <si>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</si>
  <si>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</si>
  <si>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</si>
  <si>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</si>
  <si>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</si>
  <si>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</si>
  <si>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</si>
  <si>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</si>
  <si>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</si>
  <si>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</si>
  <si>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</si>
  <si>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</si>
  <si>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</si>
  <si>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</si>
  <si>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</si>
  <si>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</si>
  <si>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</si>
  <si>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</si>
  <si>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</si>
  <si>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</si>
  <si>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</si>
  <si>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</si>
  <si>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</si>
  <si>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</si>
  <si>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</si>
  <si>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</si>
  <si>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</si>
  <si>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</si>
  <si>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</si>
  <si>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</si>
  <si>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</si>
  <si>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</si>
  <si>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</si>
  <si>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</si>
  <si>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</si>
  <si>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</si>
  <si>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</si>
  <si>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</si>
  <si>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</si>
  <si>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</si>
  <si>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</si>
  <si>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</si>
  <si>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</si>
  <si>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</si>
  <si>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</si>
  <si>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</si>
  <si>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</si>
  <si>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</si>
  <si>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</si>
  <si>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</si>
  <si>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</si>
  <si>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</si>
  <si>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</si>
  <si>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</si>
  <si>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</si>
  <si>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</si>
  <si>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</si>
  <si>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</si>
  <si>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</si>
  <si>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</si>
  <si>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</si>
  <si>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</si>
  <si>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</si>
  <si>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</si>
  <si>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</si>
  <si>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</si>
  <si>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</si>
  <si>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</si>
  <si>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</si>
  <si>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</si>
  <si>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</si>
  <si>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</si>
  <si>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</si>
  <si>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</si>
  <si>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</si>
  <si>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</si>
  <si>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</si>
  <si>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</si>
  <si>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</si>
  <si>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</si>
  <si>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</si>
  <si>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</si>
  <si>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</si>
  <si>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</si>
  <si>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</si>
  <si>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</si>
  <si>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</si>
  <si>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</si>
  <si>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</si>
  <si>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</si>
  <si>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</si>
  <si>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</si>
  <si>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</si>
  <si>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</si>
  <si>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</si>
  <si>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</si>
  <si>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</si>
  <si>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</si>
  <si>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</si>
  <si>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</si>
  <si>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</si>
  <si>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</si>
  <si>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</si>
  <si>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</si>
  <si>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</si>
  <si>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</si>
  <si>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</si>
  <si>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</si>
  <si>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</si>
  <si>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</si>
  <si>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</si>
  <si>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</si>
  <si>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</si>
  <si>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</si>
  <si>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</si>
  <si>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</si>
  <si>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</si>
  <si>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</si>
  <si>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</si>
  <si>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</si>
  <si>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</si>
  <si>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</si>
  <si>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</si>
  <si>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</si>
  <si>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</si>
  <si>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</si>
  <si>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</si>
  <si>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</si>
  <si>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</si>
  <si>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</si>
  <si>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</si>
  <si>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</si>
  <si>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</si>
  <si>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</si>
  <si>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</si>
  <si>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</si>
  <si>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</si>
  <si>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</si>
  <si>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</si>
  <si>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</si>
  <si>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</si>
  <si>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</si>
  <si>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</si>
  <si>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</si>
  <si>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</si>
  <si>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</si>
  <si>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</si>
  <si>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</si>
  <si>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</si>
  <si>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</si>
  <si>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</si>
  <si>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</si>
  <si>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</si>
  <si>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</si>
  <si>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</si>
  <si>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</si>
  <si>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</si>
  <si>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</si>
  <si>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</si>
  <si>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</si>
  <si>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</si>
  <si>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</si>
  <si>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</si>
  <si>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</si>
  <si>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</si>
  <si>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</si>
  <si>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</si>
  <si>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</si>
  <si>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</si>
  <si>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</si>
  <si>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</si>
  <si>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</si>
  <si>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</si>
  <si>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</si>
  <si>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</si>
  <si>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</si>
  <si>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</si>
  <si>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</si>
  <si>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</si>
  <si>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</si>
  <si>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</si>
  <si>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</si>
  <si>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</si>
  <si>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</si>
  <si>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</si>
  <si>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</si>
  <si>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</si>
  <si>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</si>
  <si>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</si>
  <si>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</si>
  <si>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</si>
  <si>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</si>
  <si>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</si>
  <si>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</si>
  <si>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</si>
  <si>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</si>
  <si>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</si>
  <si>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</si>
  <si>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</si>
  <si>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</si>
  <si>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</si>
  <si>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</si>
  <si>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</si>
  <si>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</si>
  <si>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</si>
  <si>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</si>
  <si>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</si>
  <si>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</si>
  <si>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</si>
  <si>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</si>
  <si>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</si>
  <si>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</si>
  <si>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</si>
  <si>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</si>
  <si>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</si>
  <si>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</si>
  <si>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</si>
  <si>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</si>
  <si>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</si>
  <si>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</si>
  <si>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</si>
  <si>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</si>
  <si>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</si>
  <si>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</si>
  <si>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</si>
  <si>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</si>
  <si>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</si>
  <si>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</si>
  <si>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</si>
  <si>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</si>
  <si>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</si>
  <si>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</si>
  <si>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</si>
  <si>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</si>
  <si>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</si>
  <si>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</si>
  <si>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</si>
  <si>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</si>
  <si>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</si>
  <si>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</si>
  <si>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</si>
  <si>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</si>
  <si>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</si>
  <si>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</si>
  <si>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</si>
  <si>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</si>
  <si>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</si>
  <si>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</si>
  <si>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</si>
  <si>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</si>
  <si>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</si>
  <si>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</si>
  <si>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</si>
  <si>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</si>
  <si>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</si>
  <si>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</si>
  <si>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</si>
  <si>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</si>
  <si>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</si>
  <si>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</si>
  <si>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</si>
  <si>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</si>
  <si>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</si>
  <si>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</si>
  <si>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</si>
  <si>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</si>
  <si>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</si>
  <si>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</si>
  <si>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</si>
  <si>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</si>
  <si>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</si>
  <si>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</si>
  <si>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</si>
  <si>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</si>
  <si>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</si>
  <si>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</si>
  <si>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</si>
  <si>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</si>
  <si>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</si>
  <si>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</si>
  <si>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</si>
  <si>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</si>
  <si>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</si>
  <si>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</si>
  <si>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</si>
  <si>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</si>
  <si>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</si>
  <si>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</si>
  <si>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</si>
  <si>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</si>
  <si>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</si>
  <si>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</si>
  <si>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</si>
  <si>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</si>
  <si>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</si>
  <si>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</si>
  <si>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</si>
  <si>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</si>
  <si>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</si>
  <si>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</si>
  <si>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</si>
  <si>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</si>
  <si>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</si>
  <si>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</si>
  <si>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</si>
  <si>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</si>
  <si>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</si>
  <si>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3350-1</t>
  </si>
  <si>
    <t>VENTUNO PRODUTO</t>
  </si>
  <si>
    <t>MARLON MARQUES</t>
  </si>
  <si>
    <t>PERSONALIZADO_L</t>
  </si>
  <si>
    <t>CTE NORMAL</t>
  </si>
  <si>
    <t>OSASCO - SP</t>
  </si>
  <si>
    <t>N/D</t>
  </si>
  <si>
    <t>PRAZITO TRANSPORTES LTDA</t>
  </si>
  <si>
    <t>3401-1</t>
  </si>
  <si>
    <t>MAC FER INDUSTR</t>
  </si>
  <si>
    <t>FRANCISCO GILAILTON/SABRI</t>
  </si>
  <si>
    <t>ECONOMICO_250</t>
  </si>
  <si>
    <t>SAO PAULO - SP</t>
  </si>
  <si>
    <t>PORTOEXPRESS LOGISTICA LT</t>
  </si>
  <si>
    <t>PORTOEX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</si>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</sst>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104.32</c:v>
                </c:pt>
                <c:pt idx="1">
                  <c:v>6797.1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40.7044</c:v>
                </c:pt>
                <c:pt idx="1">
                  <c:v>5209.6220000000012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104.32</c:v>
                </c:pt>
                <c:pt idx="1">
                  <c:v>6797.1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40.7044</c:v>
                </c:pt>
                <c:pt idx="1">
                  <c:v>5209.6220000000012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513506944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461"/>
        <n v="350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30T00:00:00" maxDate="2026-10-02T00:00:00"/>
    </cacheField>
    <cacheField name="DATA" numFmtId="14">
      <sharedItems containsNonDate="0" containsDate="1" containsString="0" containsBlank="1" minDate="2026-09-30T00:00:00" maxDate="2026-10-02T00:00:00"/>
    </cacheField>
    <cacheField name="FAT" numFmtId="0">
      <sharedItems containsString="0" containsBlank="1" containsNumber="1" containsInteger="1" minValue="683" maxValue="713"/>
    </cacheField>
    <cacheField name="CT-E" numFmtId="0">
      <sharedItems containsBlank="1"/>
    </cacheField>
    <cacheField name="CLIENTE TOMADOR" numFmtId="0">
      <sharedItems containsBlank="1" count="855">
        <s v="VENTUNO PRODUTO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088.5500000000002" maxValue="284856.40999999997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4.32" maxValue="6797.1"/>
    </cacheField>
    <cacheField name="VOLUMES" numFmtId="0">
      <sharedItems containsString="0" containsBlank="1" containsNumber="1" containsInteger="1" minValue="9" maxValue="363"/>
    </cacheField>
    <cacheField name="PESO" numFmtId="0">
      <sharedItems containsString="0" containsBlank="1" containsNumber="1" minValue="49.61" maxValue="10478.32"/>
    </cacheField>
    <cacheField name="RESP. COLETA" numFmtId="0">
      <sharedItems containsBlank="1"/>
    </cacheField>
    <cacheField name="CUSTO COLETA" numFmtId="0">
      <sharedItems containsString="0" containsBlank="1" containsNumber="1" minValue="0" maxValue="1.9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52" maxValue="815.6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4" maxValue="113.94"/>
    </cacheField>
    <cacheField name="OUTROS" numFmtId="0">
      <sharedItems containsString="0" containsBlank="1" containsNumber="1" minValue="0" maxValue="114.12"/>
    </cacheField>
    <cacheField name="C.TOTAL" numFmtId="0">
      <sharedItems containsString="0" containsBlank="1" containsNumber="1" minValue="117.24" maxValue="5081.74"/>
    </cacheField>
    <cacheField name="RECEITA" numFmtId="0">
      <sharedItems containsString="0" containsBlank="1" containsNumber="1" minValue="-12.92" maxValue="1715.36"/>
    </cacheField>
    <cacheField name="IMPOSTO" numFmtId="0">
      <sharedItems containsString="0" containsBlank="1" containsNumber="1" minValue="27.12" maxValue="1767.25"/>
    </cacheField>
    <cacheField name="RESULTADO" numFmtId="0">
      <sharedItems containsString="0" containsBlank="1" containsNumber="1" minValue="-51.89" maxValue="-40.0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51.89" maxValue="-40.04"/>
    </cacheField>
    <cacheField name="MARGEM" numFmtId="10">
      <sharedItems containsString="0" containsBlank="1" containsNumber="1" minValue="-0.38380000000000003" maxValue="-7.6E-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30T00:00:00"/>
    <d v="2026-09-30T00:00:00"/>
    <n v="683"/>
    <s v="3350-1"/>
    <x v="0"/>
    <s v="MARLON MARQUES"/>
    <n v="284856.40999999997"/>
    <x v="0"/>
    <s v="CTE NORMAL"/>
    <s v="OSASCO - SP"/>
    <n v="6797.1"/>
    <n v="363"/>
    <n v="10478.32"/>
    <s v="N/D"/>
    <n v="0"/>
    <s v="N/D"/>
    <n v="0"/>
    <s v="PRAZITO TRANSPORTES LTDA"/>
    <n v="0"/>
    <n v="815.65"/>
    <n v="0"/>
    <n v="0"/>
    <n v="113.94"/>
    <n v="114.12"/>
    <n v="5081.74"/>
    <n v="1715.36"/>
    <n v="1767.25"/>
    <n v="-51.89"/>
    <n v="0"/>
    <n v="-51.89"/>
    <n v="-7.6E-3"/>
    <m/>
  </r>
  <r>
    <x v="1"/>
    <s v="MATRIZ"/>
    <d v="2026-10-01T00:00:00"/>
    <d v="2026-10-01T00:00:00"/>
    <n v="713"/>
    <s v="3401-1"/>
    <x v="1"/>
    <s v="FRANCISCO GILAILTON/SABRI"/>
    <n v="2088.5500000000002"/>
    <x v="1"/>
    <s v="CTE NORMAL"/>
    <s v="SAO PAULO - SP"/>
    <n v="104.32"/>
    <n v="9"/>
    <n v="49.61"/>
    <s v="PORTOEXPRESS LOGISTICA LT"/>
    <n v="1.91"/>
    <s v="PORTOEX SP"/>
    <n v="40"/>
    <s v="PRAZITO TRANSPORTES LTDA"/>
    <n v="0"/>
    <n v="12.52"/>
    <n v="0"/>
    <n v="0"/>
    <n v="0.84"/>
    <n v="0"/>
    <n v="117.24"/>
    <n v="-12.92"/>
    <n v="27.12"/>
    <n v="-40.04"/>
    <n v="0"/>
    <n v="-40.04"/>
    <n v="-0.3838000000000000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8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1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0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9"/>
    </i>
    <i>
      <x v="813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8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1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0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1" s="1" nd="1"/>
        <i x="712" s="1" nd="1"/>
        <i x="297" s="1" nd="1"/>
        <i x="114" s="1" nd="1"/>
        <i x="272" s="1" nd="1"/>
        <i x="590" s="1" nd="1"/>
        <i x="325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8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7" s="1" nd="1"/>
        <i x="475" s="1" nd="1"/>
        <i x="633" s="1" nd="1"/>
        <i x="445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0" s="1" nd="1"/>
        <i x="505" s="1" nd="1"/>
        <i x="553" s="1" nd="1"/>
        <i x="476" s="1" nd="1"/>
        <i x="245" s="1" nd="1"/>
        <i x="848" s="1" nd="1"/>
        <i x="832" s="1" nd="1"/>
        <i x="742" s="1" nd="1"/>
        <i x="241" s="1" nd="1"/>
        <i x="240" s="1" nd="1"/>
        <i x="461" s="1" nd="1"/>
        <i x="287" s="1" nd="1"/>
        <i x="549" s="1" nd="1"/>
        <i x="845" s="1" nd="1"/>
        <i x="444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2" s="1" nd="1"/>
        <i x="407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7" s="1" nd="1"/>
        <i x="208" s="1" nd="1"/>
        <i x="521" s="1" nd="1"/>
        <i x="462" s="1" nd="1"/>
        <i x="139" s="1" nd="1"/>
        <i x="661" s="1" nd="1"/>
        <i x="371" s="1" nd="1"/>
        <i x="155" s="1" nd="1"/>
        <i x="252" s="1" nd="1"/>
        <i x="628" s="1" nd="1"/>
        <i x="736" s="1" nd="1"/>
        <i x="420" s="1" nd="1"/>
        <i x="81" s="1" nd="1"/>
        <i x="696" s="1" nd="1"/>
        <i x="285" s="1" nd="1"/>
        <i x="846" s="1" nd="1"/>
        <i x="249" s="1" nd="1"/>
        <i x="763" s="1" nd="1"/>
        <i x="424" s="1" nd="1"/>
        <i x="435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2" s="1" nd="1"/>
        <i x="53" s="1" nd="1"/>
        <i x="649" s="1" nd="1"/>
        <i x="469" s="1" nd="1"/>
        <i x="250" s="1" nd="1"/>
        <i x="329" s="1" nd="1"/>
        <i x="436" s="1" nd="1"/>
        <i x="353" s="1" nd="1"/>
        <i x="571" s="1" nd="1"/>
        <i x="567" s="1" nd="1"/>
        <i x="733" s="1" nd="1"/>
        <i x="755" s="1" nd="1"/>
        <i x="121" s="1" nd="1"/>
        <i x="389" s="1" nd="1"/>
        <i x="89" s="1" nd="1"/>
        <i x="381" s="1" nd="1"/>
        <i x="814" s="1" nd="1"/>
        <i x="395" s="1" nd="1"/>
        <i x="259" s="1" nd="1"/>
        <i x="376" s="1" nd="1"/>
        <i x="849" s="1" nd="1"/>
        <i x="647" s="1" nd="1"/>
        <i x="853" s="1" nd="1"/>
        <i x="829" s="1" nd="1"/>
        <i x="107" s="1" nd="1"/>
        <i x="400" s="1" nd="1"/>
        <i x="115" s="1" nd="1"/>
        <i x="652" s="1" nd="1"/>
        <i x="656" s="1" nd="1"/>
        <i x="795" s="1" nd="1"/>
        <i x="695" s="1" nd="1"/>
        <i x="454" s="1" nd="1"/>
        <i x="380" s="1" nd="1"/>
        <i x="447" s="1" nd="1"/>
        <i x="160" s="1" nd="1"/>
        <i x="278" s="1" nd="1"/>
        <i x="204" s="1" nd="1"/>
        <i x="493" s="1" nd="1"/>
        <i x="290" s="1" nd="1"/>
        <i x="526" s="1" nd="1"/>
        <i x="258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4" s="1" nd="1"/>
        <i x="627" s="1" nd="1"/>
        <i x="374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49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6" s="1" nd="1"/>
        <i x="432" s="1" nd="1"/>
        <i x="708" s="1" nd="1"/>
        <i x="211" s="1" nd="1"/>
        <i x="438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7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59" s="1" nd="1"/>
        <i x="580" s="1" nd="1"/>
        <i x="354" s="1" nd="1"/>
        <i x="104" s="1" nd="1"/>
        <i x="538" s="1" nd="1"/>
        <i x="209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4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4" s="1" nd="1"/>
        <i x="16" s="1" nd="1"/>
        <i x="233" s="1" nd="1"/>
        <i x="242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6" s="1" nd="1"/>
        <i x="317" s="1" nd="1"/>
        <i x="379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2" s="1" nd="1"/>
        <i x="589" s="1" nd="1"/>
        <i x="747" s="1" nd="1"/>
        <i x="270" s="1" nd="1"/>
        <i x="18" s="1" nd="1"/>
        <i x="637" s="1" nd="1"/>
        <i x="388" s="1" nd="1"/>
        <i x="479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68" s="1" nd="1"/>
        <i x="336" s="1" nd="1"/>
        <i x="176" s="1" nd="1"/>
        <i x="419" s="1" nd="1"/>
        <i x="701" s="1" nd="1"/>
        <i x="697" s="1" nd="1"/>
        <i x="378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7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5" s="1" nd="1"/>
        <i x="720" s="1" nd="1"/>
        <i x="555" s="1" nd="1"/>
        <i x="117" s="1" nd="1"/>
        <i x="375" s="1" nd="1"/>
        <i x="718" s="1" nd="1"/>
        <i x="128" s="1" nd="1"/>
        <i x="34" s="1" nd="1"/>
        <i x="303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3" s="1" nd="1"/>
        <i x="741" s="1" nd="1"/>
        <i x="195" s="1" nd="1"/>
        <i x="746" s="1" nd="1"/>
        <i x="383" s="1" nd="1"/>
        <i x="138" s="1" nd="1"/>
        <i x="658" s="1" nd="1"/>
        <i x="429" s="1" nd="1"/>
        <i x="664" s="1" nd="1"/>
        <i x="492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7" s="1" nd="1"/>
        <i x="364" s="1" nd="1"/>
        <i x="101" s="1" nd="1"/>
        <i x="480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2" s="1" nd="1"/>
        <i x="735" s="1" nd="1"/>
        <i x="133" s="1" nd="1"/>
        <i x="87" s="1" nd="1"/>
        <i x="210" s="1" nd="1"/>
        <i x="681" s="1" nd="1"/>
        <i x="276" s="1" nd="1"/>
        <i x="471" s="1" nd="1"/>
        <i x="799" s="1" nd="1"/>
        <i x="218" s="1" nd="1"/>
        <i x="827" s="1" nd="1"/>
        <i x="70" s="1" nd="1"/>
        <i x="119" s="1" nd="1"/>
        <i x="645" s="1" nd="1"/>
        <i x="410" s="1" nd="1"/>
        <i x="854" s="1" nd="1"/>
        <i x="431" s="1" nd="1"/>
        <i x="569" s="1" nd="1"/>
        <i x="487" s="1" nd="1"/>
        <i x="183" s="1" nd="1"/>
        <i x="373" s="1" nd="1"/>
        <i x="243" s="1" nd="1"/>
        <i x="338" s="1" nd="1"/>
        <i x="527" s="1" nd="1"/>
        <i x="422" s="1" nd="1"/>
        <i x="788" s="1" nd="1"/>
        <i x="302" s="1" nd="1"/>
        <i x="310" s="1" nd="1"/>
        <i x="490" s="1" nd="1"/>
        <i x="662" s="1" nd="1"/>
        <i x="189" s="1" nd="1"/>
        <i x="659" s="1" nd="1"/>
        <i x="222" s="1" nd="1"/>
        <i x="448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0" s="1" nd="1"/>
        <i x="247" s="1" nd="1"/>
        <i x="397" s="1" nd="1"/>
        <i x="481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5" s="1" nd="1"/>
        <i x="506" s="1" nd="1"/>
        <i x="446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0" s="1" nd="1"/>
        <i x="657" s="1" nd="1"/>
        <i x="311" s="1" nd="1"/>
        <i x="75" s="1" nd="1"/>
        <i x="669" s="1" nd="1"/>
        <i x="95" s="1" nd="1"/>
        <i x="439" s="1" nd="1"/>
        <i x="352" s="1" nd="1"/>
        <i x="784" s="1" nd="1"/>
        <i x="498" s="1" nd="1"/>
        <i x="62" s="1" nd="1"/>
        <i x="455" s="1" nd="1"/>
        <i x="83" s="1" nd="1"/>
        <i x="326" s="1" nd="1"/>
        <i x="169" s="1" nd="1"/>
        <i x="333" s="1" nd="1"/>
        <i x="564" s="1" nd="1"/>
        <i x="503" s="1" nd="1"/>
        <i x="229" s="1" nd="1"/>
        <i x="282" s="1" nd="1"/>
        <i x="94" s="1" nd="1"/>
        <i x="406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3" s="1" nd="1"/>
        <i x="314" s="1" nd="1"/>
        <i x="348" s="1" nd="1"/>
        <i x="283" s="1" nd="1"/>
        <i x="324" s="1" nd="1"/>
        <i x="844" s="1" nd="1"/>
        <i x="359" s="1" nd="1"/>
        <i x="386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0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2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1" s="1" nd="1"/>
        <i x="26" s="1" nd="1"/>
        <i x="343" s="1" nd="1"/>
        <i x="489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5" s="1" nd="1"/>
        <i x="706" s="1" nd="1"/>
        <i x="619" s="1" nd="1"/>
        <i x="731" s="1" nd="1"/>
        <i x="470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3" s="1" nd="1"/>
        <i x="194" s="1" nd="1"/>
        <i x="307" s="1" nd="1"/>
        <i x="341" s="1" nd="1"/>
        <i x="97" s="1" nd="1"/>
        <i x="694" s="1" nd="1"/>
        <i x="306" s="1" nd="1"/>
        <i x="356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6" s="1" nd="1"/>
        <i x="408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5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09" s="1" nd="1"/>
        <i x="692" s="1" nd="1"/>
        <i x="441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4" s="1" nd="1"/>
        <i x="576" s="1" nd="1"/>
        <i x="361" s="1" nd="1"/>
        <i x="450" s="1" nd="1"/>
        <i x="513" s="1" nd="1"/>
        <i x="123" s="1" nd="1"/>
        <i x="646" s="1" nd="1"/>
        <i x="49" s="1" nd="1"/>
        <i x="415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3" s="1" nd="1"/>
        <i x="27" s="1" nd="1"/>
        <i x="765" s="1" nd="1"/>
        <i x="413" s="1" nd="1"/>
        <i x="552" s="1" nd="1"/>
        <i x="98" s="1" nd="1"/>
        <i x="86" s="1" nd="1"/>
        <i x="294" s="1" nd="1"/>
        <i x="196" s="1" nd="1"/>
        <i x="496" s="1" nd="1"/>
        <i x="263" s="1" nd="1"/>
        <i x="31" s="1" nd="1"/>
        <i x="106" s="1" nd="1"/>
        <i x="533" s="1" nd="1"/>
        <i x="298" s="1" nd="1"/>
        <i x="396" s="1" nd="1"/>
        <i x="230" s="1" nd="1"/>
        <i x="8" s="1" nd="1"/>
        <i x="472" s="1" nd="1"/>
        <i x="824" s="1" nd="1"/>
        <i x="36" s="1" nd="1"/>
        <i x="312" s="1" nd="1"/>
        <i x="825" s="1" nd="1"/>
        <i x="562" s="1" nd="1"/>
        <i x="63" s="1" nd="1"/>
        <i x="568" s="1" nd="1"/>
        <i x="430" s="1" nd="1"/>
        <i x="425" s="1" nd="1"/>
        <i x="177" s="1" nd="1"/>
        <i x="758" s="1" nd="1"/>
        <i x="600" s="1" nd="1"/>
        <i x="13" s="1" nd="1"/>
        <i x="93" s="1" nd="1"/>
        <i x="437" s="1" nd="1"/>
        <i x="433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1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3461</v>
      </c>
      <c r="B2" s="12" t="s">
        <v>616</v>
      </c>
      <c r="C2" s="14">
        <v>46295</v>
      </c>
      <c r="D2" s="14">
        <v>46295</v>
      </c>
      <c r="E2" s="12">
        <v>683</v>
      </c>
      <c r="F2" s="15" t="s">
        <v>617</v>
      </c>
      <c r="G2" s="15" t="s">
        <v>618</v>
      </c>
      <c r="H2" s="15" t="s">
        <v>619</v>
      </c>
      <c r="I2" s="16">
        <v>284856.40999999997</v>
      </c>
      <c r="J2" s="15" t="s">
        <v>620</v>
      </c>
      <c r="K2" s="15" t="s">
        <v>621</v>
      </c>
      <c r="L2" s="15" t="s">
        <v>622</v>
      </c>
      <c r="M2" s="15">
        <v>6797.1</v>
      </c>
      <c r="N2" s="15">
        <v>363</v>
      </c>
      <c r="O2" s="16">
        <v>10478.32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815.65</v>
      </c>
      <c r="W2" s="15">
        <v>0</v>
      </c>
      <c r="X2" s="15">
        <v>0</v>
      </c>
      <c r="Y2" s="15">
        <v>113.94</v>
      </c>
      <c r="Z2" s="15">
        <v>114.12</v>
      </c>
      <c r="AA2" s="15">
        <v>5081.74</v>
      </c>
      <c r="AB2" s="15">
        <v>1715.36</v>
      </c>
      <c r="AC2" s="15">
        <v>1767.25</v>
      </c>
      <c r="AD2" s="15">
        <v>-51.89</v>
      </c>
      <c r="AE2" s="15">
        <v>0</v>
      </c>
      <c r="AF2" s="15">
        <v>-51.89</v>
      </c>
      <c r="AG2" s="17">
        <v>-7.6E-3</v>
      </c>
      <c r="AH2" s="15"/>
    </row>
    <row r="3" spans="1:34" s="1" customFormat="1" ht="12" customHeight="1" x14ac:dyDescent="0.3">
      <c r="A3" s="13">
        <v>3508</v>
      </c>
      <c r="B3" s="12" t="s">
        <v>616</v>
      </c>
      <c r="C3" s="14">
        <v>46296</v>
      </c>
      <c r="D3" s="14">
        <v>46296</v>
      </c>
      <c r="E3" s="12">
        <v>713</v>
      </c>
      <c r="F3" s="15" t="s">
        <v>625</v>
      </c>
      <c r="G3" s="15" t="s">
        <v>626</v>
      </c>
      <c r="H3" s="15" t="s">
        <v>627</v>
      </c>
      <c r="I3" s="16">
        <v>2088.5500000000002</v>
      </c>
      <c r="J3" s="15" t="s">
        <v>628</v>
      </c>
      <c r="K3" s="15" t="s">
        <v>621</v>
      </c>
      <c r="L3" s="15" t="s">
        <v>629</v>
      </c>
      <c r="M3" s="16">
        <v>104.32</v>
      </c>
      <c r="N3" s="15">
        <v>9</v>
      </c>
      <c r="O3" s="16">
        <v>49.61</v>
      </c>
      <c r="P3" s="15" t="s">
        <v>630</v>
      </c>
      <c r="Q3" s="15">
        <v>1.91</v>
      </c>
      <c r="R3" s="15" t="s">
        <v>631</v>
      </c>
      <c r="S3" s="15">
        <v>40</v>
      </c>
      <c r="T3" s="15" t="s">
        <v>624</v>
      </c>
      <c r="U3" s="15">
        <v>0</v>
      </c>
      <c r="V3" s="15">
        <v>12.52</v>
      </c>
      <c r="W3" s="15">
        <v>0</v>
      </c>
      <c r="X3" s="15">
        <v>0</v>
      </c>
      <c r="Y3" s="15">
        <v>0.84</v>
      </c>
      <c r="Z3" s="15">
        <v>0</v>
      </c>
      <c r="AA3" s="16">
        <v>117.24</v>
      </c>
      <c r="AB3" s="16">
        <v>-12.92</v>
      </c>
      <c r="AC3" s="15">
        <v>27.12</v>
      </c>
      <c r="AD3" s="15">
        <v>-40.04</v>
      </c>
      <c r="AE3" s="15">
        <v>0</v>
      </c>
      <c r="AF3" s="15">
        <v>-40.04</v>
      </c>
      <c r="AG3" s="17">
        <v>-0.38380000000000003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6901.42</v>
      </c>
      <c r="F3" s="89"/>
      <c r="G3" s="90"/>
      <c r="H3" s="133">
        <f>'Resumo Detalhado'!C2</f>
        <v>10527.93</v>
      </c>
      <c r="I3" s="134"/>
      <c r="J3" s="135">
        <f>E3/H3</f>
        <v>0.65553437380377721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0.95708454545454547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4101.91</v>
      </c>
      <c r="F7" s="112"/>
      <c r="G7" s="112"/>
      <c r="H7" s="112"/>
      <c r="I7" s="112"/>
      <c r="J7" s="112">
        <f>E7/H3</f>
        <v>0.38962170151207309</v>
      </c>
      <c r="K7" s="112"/>
      <c r="L7" s="112"/>
      <c r="M7" s="130">
        <f>E7/E3</f>
        <v>0.59435739311619928</v>
      </c>
      <c r="N7" s="130"/>
      <c r="O7" s="130"/>
      <c r="P7" s="112">
        <f>E11+K11+Q11+E15+K15+Q15+E19+H19+K19</f>
        <v>6815.3207999999995</v>
      </c>
      <c r="Q7" s="112"/>
      <c r="R7" s="112"/>
      <c r="S7" s="112">
        <f>P7/H3</f>
        <v>0.64735620392612792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0.38944027933316427</v>
      </c>
      <c r="O11" s="90"/>
      <c r="P11" s="38"/>
      <c r="Q11" s="88">
        <f>'Resumo Detalhado'!D2</f>
        <v>1.91</v>
      </c>
      <c r="R11" s="90"/>
      <c r="S11" s="38"/>
      <c r="T11" s="88">
        <f>Q11/H3</f>
        <v>1.8142217890886433E-4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828.17</v>
      </c>
      <c r="F15" s="119"/>
      <c r="G15" s="119"/>
      <c r="H15" s="119"/>
      <c r="I15" s="132"/>
      <c r="J15" s="38"/>
      <c r="K15" s="113">
        <f>'Resumo Detalhado'!K2+'Resumo Detalhado'!L2</f>
        <v>1104.2272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114.78</v>
      </c>
      <c r="F19" s="120"/>
      <c r="G19" s="38"/>
      <c r="H19" s="122">
        <f>'Resumo Detalhado'!J2</f>
        <v>114.12</v>
      </c>
      <c r="I19" s="123"/>
      <c r="J19" s="38"/>
      <c r="K19" s="122">
        <f>'Resumo Detalhado'!L2</f>
        <v>552.11360000000002</v>
      </c>
      <c r="L19" s="123"/>
      <c r="M19" s="38"/>
      <c r="N19" s="121" t="s">
        <v>217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5250.3264000000008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0.76076030729907773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6901.42</v>
      </c>
      <c r="C2" s="29">
        <f>SUM(C6:C5000)</f>
        <v>10527.93</v>
      </c>
      <c r="D2" s="29">
        <f>SUM(D6:D5000)</f>
        <v>1.91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828.17</v>
      </c>
      <c r="I2" s="29">
        <f t="shared" si="0"/>
        <v>114.78</v>
      </c>
      <c r="J2" s="29">
        <f t="shared" si="0"/>
        <v>114.12</v>
      </c>
      <c r="K2" s="29">
        <f t="shared" si="0"/>
        <v>552.11360000000002</v>
      </c>
      <c r="L2" s="29">
        <f t="shared" si="0"/>
        <v>552.11360000000002</v>
      </c>
      <c r="M2" s="29">
        <f t="shared" si="0"/>
        <v>0</v>
      </c>
      <c r="N2" s="29">
        <f t="shared" si="0"/>
        <v>5250.3264000000008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3508</v>
      </c>
      <c r="B6" s="140">
        <v>104.32</v>
      </c>
      <c r="C6" s="141">
        <v>49.61</v>
      </c>
      <c r="D6" s="140">
        <v>1.91</v>
      </c>
      <c r="E6" s="140">
        <v>40</v>
      </c>
      <c r="F6" s="140">
        <v>0</v>
      </c>
      <c r="G6" s="142">
        <v>0.40174463190184051</v>
      </c>
      <c r="H6" s="140">
        <v>12.52</v>
      </c>
      <c r="I6" s="140">
        <v>0.84</v>
      </c>
      <c r="J6" s="140">
        <v>0</v>
      </c>
      <c r="K6" s="140">
        <v>8.3455999999999992</v>
      </c>
      <c r="L6" s="140">
        <v>8.3455999999999992</v>
      </c>
      <c r="M6" s="140">
        <v>0</v>
      </c>
      <c r="N6" s="140">
        <v>40.7044</v>
      </c>
      <c r="O6" s="142">
        <v>0.39018788343558286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3461</v>
      </c>
      <c r="B8" s="140">
        <v>6797.1</v>
      </c>
      <c r="C8" s="141">
        <v>10478.32</v>
      </c>
      <c r="D8" s="140">
        <v>0</v>
      </c>
      <c r="E8" s="140">
        <v>0</v>
      </c>
      <c r="F8" s="140">
        <v>0</v>
      </c>
      <c r="G8" s="142">
        <v>0</v>
      </c>
      <c r="H8" s="140">
        <v>815.65</v>
      </c>
      <c r="I8" s="140">
        <v>113.94</v>
      </c>
      <c r="J8" s="140">
        <v>114.12</v>
      </c>
      <c r="K8" s="140">
        <v>543.76800000000003</v>
      </c>
      <c r="L8" s="140">
        <v>543.76800000000003</v>
      </c>
      <c r="M8" s="140">
        <v>0</v>
      </c>
      <c r="N8" s="140">
        <v>5209.6220000000012</v>
      </c>
      <c r="O8" s="142">
        <v>0.76644774977563979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6797.1</v>
      </c>
      <c r="C2" s="29">
        <f>SUM(C6:C5000)</f>
        <v>5209.6220000000012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626</v>
      </c>
      <c r="B5" s="10">
        <v>104.32</v>
      </c>
      <c r="C5" s="10">
        <v>40.7044</v>
      </c>
    </row>
    <row r="6" spans="1:4" x14ac:dyDescent="0.3">
      <c r="A6" s="139" t="s">
        <v>618</v>
      </c>
      <c r="B6" s="140">
        <v>6797.1</v>
      </c>
      <c r="C6" s="140">
        <v>5209.6220000000012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2026-10-07T15:21:54Z</dcterms:modified>
  <cp:category/>
  <cp:contentStatus/>
</cp:coreProperties>
</file>