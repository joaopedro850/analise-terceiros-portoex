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6124385-8438-49FD-AF6C-CE56456DFAA3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<sst xmlns="http://schemas.openxmlformats.org/spreadsheetml/2006/main" count="915" uniqueCount="634">
  <si>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</si>
  <si>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</si>
  <si>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</si>
  <si>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</si>
  <si>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</si>
  <si>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</si>
  <si>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</si>
  <si>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</si>
  <si>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</si>
  <si>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</si>
  <si>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</si>
  <si>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</si>
  <si>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</si>
  <si>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</si>
  <si>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</si>
  <si>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</si>
  <si>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</si>
  <si>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</si>
  <si>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</si>
  <si>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</si>
  <si>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</si>
  <si>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</si>
  <si>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</si>
  <si>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</si>
  <si>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</si>
  <si>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</si>
  <si>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</si>
  <si>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</si>
  <si>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</si>
  <si>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</si>
  <si>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</si>
  <si>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</si>
  <si>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</si>
  <si>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</si>
  <si>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</si>
  <si>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</si>
  <si>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</si>
  <si>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</si>
  <si>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</si>
  <si>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</si>
  <si>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</si>
  <si>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</si>
  <si>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</si>
  <si>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</si>
  <si>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</si>
  <si>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</si>
  <si>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</si>
  <si>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</si>
  <si>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</si>
  <si>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</si>
  <si>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</si>
  <si>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</si>
  <si>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</si>
  <si>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</si>
  <si>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</si>
  <si>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</si>
  <si>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</si>
  <si>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</si>
  <si>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</si>
  <si>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</si>
  <si>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</si>
  <si>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</si>
  <si>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</si>
  <si>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</si>
  <si>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</si>
  <si>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</si>
  <si>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</si>
  <si>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</si>
  <si>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</si>
  <si>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</si>
  <si>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</si>
  <si>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</si>
  <si>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</si>
  <si>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</si>
  <si>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</si>
  <si>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</si>
  <si>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</si>
  <si>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</si>
  <si>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</si>
  <si>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</si>
  <si>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</si>
  <si>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</si>
  <si>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</si>
  <si>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</si>
  <si>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</si>
  <si>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</si>
  <si>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</si>
  <si>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</si>
  <si>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</si>
  <si>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</si>
  <si>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</si>
  <si>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</si>
  <si>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</si>
  <si>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</si>
  <si>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</si>
  <si>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</si>
  <si>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</si>
  <si>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</si>
  <si>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</si>
  <si>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</si>
  <si>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</si>
  <si>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</si>
  <si>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</si>
  <si>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</si>
  <si>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</si>
  <si>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</si>
  <si>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</si>
  <si>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</si>
  <si>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</si>
  <si>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</si>
  <si>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</si>
  <si>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</si>
  <si>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</si>
  <si>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</si>
  <si>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</si>
  <si>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</si>
  <si>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</si>
  <si>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</si>
  <si>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</si>
  <si>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</si>
  <si>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</si>
  <si>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</si>
  <si>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</si>
  <si>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</si>
  <si>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</si>
  <si>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</si>
  <si>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</si>
  <si>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</si>
  <si>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</si>
  <si>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</si>
  <si>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</si>
  <si>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</si>
  <si>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</si>
  <si>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</si>
  <si>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</si>
  <si>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</si>
  <si>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</si>
  <si>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</si>
  <si>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</si>
  <si>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</si>
  <si>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</si>
  <si>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</si>
  <si>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</si>
  <si>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</si>
  <si>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</si>
  <si>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</si>
  <si>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</si>
  <si>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</si>
  <si>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</si>
  <si>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</si>
  <si>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</si>
  <si>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</si>
  <si>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</si>
  <si>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</si>
  <si>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</si>
  <si>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</si>
  <si>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</si>
  <si>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</si>
  <si>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</si>
  <si>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</si>
  <si>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</si>
  <si>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</si>
  <si>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</si>
  <si>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</si>
  <si>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</si>
  <si>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</si>
  <si>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</si>
  <si>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</si>
  <si>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</si>
  <si>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</si>
  <si>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</si>
  <si>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</si>
  <si>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</si>
  <si>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</si>
  <si>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</si>
  <si>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</si>
  <si>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</si>
  <si>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</si>
  <si>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</si>
  <si>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</si>
  <si>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</si>
  <si>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</si>
  <si>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</si>
  <si>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</si>
  <si>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</si>
  <si>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</si>
  <si>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</si>
  <si>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</si>
  <si>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</si>
  <si>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</si>
  <si>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</si>
  <si>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</si>
  <si>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</si>
  <si>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</si>
  <si>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</si>
  <si>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</si>
  <si>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</si>
  <si>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</si>
  <si>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</si>
  <si>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</si>
  <si>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</si>
  <si>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</si>
  <si>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</si>
  <si>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</si>
  <si>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</si>
  <si>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</si>
  <si>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</si>
  <si>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</si>
  <si>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</si>
  <si>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</si>
  <si>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</si>
  <si>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</si>
  <si>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</si>
  <si>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</si>
  <si>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</si>
  <si>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</si>
  <si>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</si>
  <si>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</si>
  <si>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</si>
  <si>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</si>
  <si>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</si>
  <si>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</si>
  <si>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</si>
  <si>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</si>
  <si>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</si>
  <si>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</si>
  <si>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</si>
  <si>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</si>
  <si>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</si>
  <si>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</si>
  <si>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</si>
  <si>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</si>
  <si>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</si>
  <si>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</si>
  <si>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</si>
  <si>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</si>
  <si>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</si>
  <si>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</si>
  <si>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</si>
  <si>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</si>
  <si>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</si>
  <si>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</si>
  <si>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</si>
  <si>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</si>
  <si>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</si>
  <si>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</si>
  <si>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</si>
  <si>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</si>
  <si>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</si>
  <si>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</si>
  <si>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</si>
  <si>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</si>
  <si>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</si>
  <si>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</si>
  <si>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</si>
  <si>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</si>
  <si>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</si>
  <si>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</si>
  <si>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</si>
  <si>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</si>
  <si>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</si>
  <si>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</si>
  <si>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</si>
  <si>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</si>
  <si>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</si>
  <si>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</si>
  <si>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</si>
  <si>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</si>
  <si>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</si>
  <si>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</si>
  <si>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</si>
  <si>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</si>
  <si>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</si>
  <si>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</si>
  <si>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</si>
  <si>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</si>
  <si>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</si>
  <si>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</si>
  <si>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</si>
  <si>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</si>
  <si>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</si>
  <si>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</si>
  <si>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</si>
  <si>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</si>
  <si>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</si>
  <si>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</si>
  <si>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</si>
  <si>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</si>
  <si>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</si>
  <si>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</si>
  <si>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</si>
  <si>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</si>
  <si>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</si>
  <si>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</si>
  <si>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</si>
  <si>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</si>
  <si>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</si>
  <si>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</si>
  <si>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</si>
  <si>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</si>
  <si>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</si>
  <si>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</si>
  <si>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</si>
  <si>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</si>
  <si>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</si>
  <si>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</si>
  <si>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</si>
  <si>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</si>
  <si>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</si>
  <si>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</si>
  <si>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</si>
  <si>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</si>
  <si>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</si>
  <si>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</si>
  <si>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</si>
  <si>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</si>
  <si>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</si>
  <si>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</si>
  <si>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</si>
  <si>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</si>
  <si>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</si>
  <si>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</si>
  <si>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</si>
  <si>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</si>
  <si>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</si>
  <si>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</si>
  <si>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</si>
  <si>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</si>
  <si>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</si>
  <si>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</si>
  <si>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</si>
  <si>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</si>
  <si>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</si>
  <si>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</si>
  <si>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</si>
  <si>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</si>
  <si>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</si>
  <si>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</si>
  <si>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</si>
  <si>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</si>
  <si>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</si>
  <si>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</si>
  <si>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</si>
  <si>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</si>
  <si>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</si>
  <si>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</si>
  <si>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</si>
  <si>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</si>
  <si>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</si>
  <si>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</si>
  <si>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</si>
  <si>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</si>
  <si>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</si>
  <si>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</si>
  <si>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</si>
  <si>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</si>
  <si>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</si>
  <si>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</si>
  <si>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</si>
  <si>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</si>
  <si>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</si>
  <si>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</si>
  <si>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</si>
  <si>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</si>
  <si>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</si>
  <si>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</si>
  <si>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</si>
  <si>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</si>
  <si>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</si>
  <si>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</si>
  <si>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</si>
  <si>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</si>
  <si>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</si>
  <si>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</si>
  <si>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</si>
  <si>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</si>
  <si>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</si>
  <si>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</si>
  <si>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</si>
  <si>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</si>
  <si>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</si>
  <si>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</si>
  <si>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</si>
  <si>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</si>
  <si>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</si>
  <si>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</si>
  <si>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</si>
  <si>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</si>
  <si>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</si>
  <si>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</si>
  <si>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</si>
  <si>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</si>
  <si>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</si>
  <si>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</si>
  <si>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</si>
  <si>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</si>
  <si>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</si>
  <si>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</si>
  <si>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</si>
  <si>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</si>
  <si>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</si>
  <si>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</si>
  <si>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</si>
  <si>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</si>
  <si>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</si>
  <si>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</si>
  <si>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</si>
  <si>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</si>
  <si>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</si>
  <si>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</si>
  <si>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</si>
  <si>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</si>
  <si>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</si>
  <si>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</si>
  <si>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</si>
  <si>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</si>
  <si>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</si>
  <si>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</si>
  <si>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</si>
  <si>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</si>
  <si>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</si>
  <si>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</si>
  <si>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</si>
  <si>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</si>
  <si>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</si>
  <si>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</si>
  <si>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</si>
  <si>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</si>
  <si>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</si>
  <si>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</si>
  <si>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</si>
  <si>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</si>
  <si>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</si>
  <si>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</si>
  <si>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</si>
  <si>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</si>
  <si>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</si>
  <si>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</si>
  <si>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</si>
  <si>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</si>
  <si>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</si>
  <si>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</si>
  <si>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</si>
  <si>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</si>
  <si>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</si>
  <si>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</si>
  <si>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</si>
  <si>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</si>
  <si>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</si>
  <si>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</si>
  <si>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</si>
  <si>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</si>
  <si>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</si>
  <si>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</si>
  <si>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</si>
  <si>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</si>
  <si>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</si>
  <si>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</si>
  <si>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</si>
  <si>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</si>
  <si>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</si>
  <si>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</si>
  <si>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</si>
  <si>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</si>
  <si>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</si>
  <si>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</si>
  <si>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</si>
  <si>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</si>
  <si>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</si>
  <si>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</si>
  <si>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</si>
  <si>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</si>
  <si>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</si>
  <si>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</si>
  <si>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</si>
  <si>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</si>
  <si>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</si>
  <si>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</si>
  <si>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</si>
  <si>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</si>
  <si>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</si>
  <si>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</si>
  <si>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</si>
  <si>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</si>
  <si>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</si>
  <si>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</si>
  <si>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</si>
  <si>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</si>
  <si>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</si>
  <si>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</si>
  <si>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</si>
  <si>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</si>
  <si>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</si>
  <si>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</si>
  <si>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</si>
  <si>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</si>
  <si>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</si>
  <si>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</si>
  <si>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</si>
  <si>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</si>
  <si>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</si>
  <si>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</si>
  <si>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</si>
  <si>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</si>
  <si>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</si>
  <si>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</si>
  <si>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</si>
  <si>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</si>
  <si>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</si>
  <si>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</si>
  <si>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</si>
  <si>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</si>
  <si>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</si>
  <si>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</si>
  <si>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</si>
  <si>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</si>
  <si>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</si>
  <si>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</si>
  <si>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</si>
  <si>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</si>
  <si>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</si>
  <si>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</si>
  <si>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</si>
  <si>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</si>
  <si>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</si>
  <si>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</si>
  <si>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</si>
  <si>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</si>
  <si>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</si>
  <si>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</si>
  <si>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</si>
  <si>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</si>
  <si>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</si>
  <si>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</si>
  <si>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</si>
  <si>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</si>
  <si>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</si>
  <si>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</si>
  <si>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</si>
  <si>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</si>
  <si>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</si>
  <si>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</si>
  <si>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</si>
  <si>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</si>
  <si>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</si>
  <si>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</si>
  <si>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</si>
  <si>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</si>
  <si>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</si>
  <si>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</si>
  <si>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</si>
  <si>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</si>
  <si>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</si>
  <si>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</si>
  <si>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</si>
  <si>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</si>
  <si>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</si>
  <si>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</si>
  <si>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</si>
  <si>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</si>
  <si>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</si>
  <si>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</si>
  <si>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</si>
  <si>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</si>
  <si>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</si>
  <si>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</si>
  <si>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</si>
  <si>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</si>
  <si>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</si>
  <si>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</si>
  <si>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</si>
  <si>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</si>
  <si>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</si>
  <si>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</si>
  <si>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</si>
  <si>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</si>
  <si>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</si>
  <si>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</si>
  <si>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</si>
  <si>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</si>
  <si>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</si>
  <si>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</si>
  <si>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</si>
  <si>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</si>
  <si>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</si>
  <si>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</si>
  <si>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</si>
  <si>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</si>
  <si>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</si>
  <si>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</si>
  <si>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</si>
  <si>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</si>
  <si>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</si>
  <si>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</si>
  <si>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</si>
  <si>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</si>
  <si>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</si>
  <si>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</si>
  <si>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</si>
  <si>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</si>
  <si>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</si>
  <si>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</si>
  <si>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</si>
  <si>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</si>
  <si>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</si>
  <si>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</si>
  <si>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</si>
  <si>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</si>
  <si>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</si>
  <si>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</si>
  <si>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</si>
  <si>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</si>
  <si>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</si>
  <si>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</si>
  <si>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</si>
  <si>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</si>
  <si>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</si>
  <si>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3506-1</t>
  </si>
  <si>
    <t>IRUDEK BRASIL I</t>
  </si>
  <si>
    <t>TIAGO SANTANA</t>
  </si>
  <si>
    <t>PERSONALIZADO_L</t>
  </si>
  <si>
    <t>CTE NORMAL</t>
  </si>
  <si>
    <t>NOVA VENECIA - ES</t>
  </si>
  <si>
    <t>N/D</t>
  </si>
  <si>
    <t>LEANDRO DOMINGOS</t>
  </si>
  <si>
    <t>3510-1</t>
  </si>
  <si>
    <t>MAC FER INDUSTR</t>
  </si>
  <si>
    <t>FRANCISCO GILAILTON/SABRI</t>
  </si>
  <si>
    <t>ECONOMICO_250</t>
  </si>
  <si>
    <t>GUARULHOS - SP</t>
  </si>
  <si>
    <t>PORTOEXPRESS LOGISTICA LT</t>
  </si>
  <si>
    <t>JOSE EMILTON DA COSTA - O</t>
  </si>
  <si>
    <t>Itajai-Sc X Nova Venécia-Es3/4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</si>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</sst>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[Analise_VINICIUS_07102026.xlsx]Resumo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IRUDEK BRASIL I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14790</c:v>
                </c:pt>
                <c:pt idx="1">
                  <c:v>722.2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IRUDEK BRASIL I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12268.24</c:v>
                </c:pt>
                <c:pt idx="1">
                  <c:v>322.00400000000013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[Analise_VINICIUS_07102026.xlsx]Resumo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IRUDEK BRASIL I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14790</c:v>
                </c:pt>
                <c:pt idx="1">
                  <c:v>722.2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IRUDEK BRASIL I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12268.24</c:v>
                </c:pt>
                <c:pt idx="1">
                  <c:v>322.00400000000013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8.445678703705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626"/>
        <n v="363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7T00:00:00" maxDate="2026-10-08T00:00:00"/>
    </cacheField>
    <cacheField name="DATA" numFmtId="14">
      <sharedItems containsNonDate="0" containsDate="1" containsString="0" containsBlank="1" minDate="2026-10-07T00:00:00" maxDate="2026-10-0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6">
        <s v="IRUDEK BRASIL I"/>
        <s v="MAC FER INDUSTR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7002.919999999998" maxValue="758143.98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22.2" maxValue="14790"/>
    </cacheField>
    <cacheField name="VOLUMES" numFmtId="0">
      <sharedItems containsString="0" containsBlank="1" containsNumber="1" containsInteger="1" minValue="46" maxValue="164"/>
    </cacheField>
    <cacheField name="PESO" numFmtId="0">
      <sharedItems containsString="0" containsBlank="1" containsNumber="1" minValue="772.62" maxValue="4500"/>
    </cacheField>
    <cacheField name="RESP. COLETA" numFmtId="0">
      <sharedItems containsBlank="1"/>
    </cacheField>
    <cacheField name="CUSTO COLETA" numFmtId="0">
      <sharedItems containsString="0" containsBlank="1" containsNumber="1" minValue="0" maxValue="58.3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90.66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86.66" maxValue="1035.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6.8" maxValue="303.2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807.99" maxValue="10872.99"/>
    </cacheField>
    <cacheField name="RECEITA" numFmtId="0">
      <sharedItems containsString="0" containsBlank="1" containsNumber="1" minValue="-85.79" maxValue="3917.01"/>
    </cacheField>
    <cacheField name="IMPOSTO" numFmtId="0">
      <sharedItems containsString="0" containsBlank="1" containsNumber="1" minValue="187.77" maxValue="3845.4"/>
    </cacheField>
    <cacheField name="RESULTADO" numFmtId="0">
      <sharedItems containsString="0" containsBlank="1" containsNumber="1" minValue="-341.03" maxValue="-273.5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341.03" maxValue="-273.56"/>
    </cacheField>
    <cacheField name="MARGEM" numFmtId="10">
      <sharedItems containsString="0" containsBlank="1" containsNumber="1" minValue="-0.37880000000000003" maxValue="-2.3099999999999999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7T00:00:00"/>
    <d v="2026-10-07T00:00:00"/>
    <m/>
    <s v="3506-1"/>
    <x v="0"/>
    <s v="TIAGO SANTANA"/>
    <n v="758143.98"/>
    <x v="0"/>
    <s v="CTE NORMAL"/>
    <s v="NOVA VENECIA - ES"/>
    <n v="14790"/>
    <n v="164"/>
    <n v="4500"/>
    <s v="N/D"/>
    <n v="0"/>
    <s v="N/D"/>
    <n v="0"/>
    <s v="LEANDRO DOMINGOS"/>
    <n v="0"/>
    <n v="1035.3"/>
    <n v="0"/>
    <n v="0"/>
    <n v="303.26"/>
    <n v="0"/>
    <n v="10872.99"/>
    <n v="3917.01"/>
    <n v="3845.4"/>
    <n v="-341.03"/>
    <n v="0"/>
    <n v="-341.03"/>
    <n v="-2.3099999999999999E-2"/>
    <m/>
  </r>
  <r>
    <x v="1"/>
    <s v="MATRIZ"/>
    <d v="2026-10-07T00:00:00"/>
    <d v="2026-10-07T00:00:00"/>
    <m/>
    <s v="3510-1"/>
    <x v="1"/>
    <s v="FRANCISCO GILAILTON/SABRI"/>
    <n v="17002.919999999998"/>
    <x v="1"/>
    <s v="CTE NORMAL"/>
    <s v="GUARULHOS - SP"/>
    <n v="722.2"/>
    <n v="46"/>
    <n v="772.62"/>
    <s v="PORTOEXPRESS LOGISTICA LT"/>
    <n v="58.3"/>
    <s v="JOSE EMILTON DA COSTA - O"/>
    <n v="190.66"/>
    <s v="LEANDRO DOMINGOS"/>
    <n v="0"/>
    <n v="86.66"/>
    <n v="0"/>
    <n v="0"/>
    <n v="6.8"/>
    <n v="0"/>
    <n v="807.99"/>
    <n v="-85.79"/>
    <n v="187.77"/>
    <n v="-273.56"/>
    <n v="0"/>
    <n v="-273.56"/>
    <n v="-0.37880000000000003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2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1"/>
        <item m="1" x="506"/>
        <item sd="0" m="1" x="554"/>
        <item m="1" x="477"/>
        <item sd="0" m="1" x="245"/>
        <item m="1" x="849"/>
        <item m="1" x="833"/>
        <item m="1" x="743"/>
        <item m="1" x="241"/>
        <item m="1" x="240"/>
        <item m="1" x="462"/>
        <item m="1" x="287"/>
        <item m="1" x="550"/>
        <item m="1" x="846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8"/>
        <item m="1" x="516"/>
        <item m="1" x="319"/>
        <item m="1" x="592"/>
        <item m="1" x="596"/>
        <item m="1" x="733"/>
        <item m="1" x="786"/>
        <item m="1" x="184"/>
        <item m="1" x="836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2"/>
        <item m="1" x="629"/>
        <item m="1" x="737"/>
        <item m="1" x="421"/>
        <item m="1" x="81"/>
        <item m="1" x="697"/>
        <item m="1" x="285"/>
        <item m="1" x="847"/>
        <item m="1" x="249"/>
        <item sd="0" m="1" x="764"/>
        <item m="1" x="425"/>
        <item m="1" x="436"/>
        <item m="1" x="168"/>
        <item m="1" x="543"/>
        <item m="1" x="807"/>
        <item sd="0" m="1" x="621"/>
        <item m="1" x="5"/>
        <item m="1" x="771"/>
        <item m="1" x="15"/>
        <item m="1" x="740"/>
        <item m="1" x="393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7"/>
        <item m="1" x="353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5"/>
        <item m="1" x="396"/>
        <item m="1" x="259"/>
        <item m="1" x="377"/>
        <item m="1" x="850"/>
        <item sd="0" m="1" x="648"/>
        <item m="1" x="854"/>
        <item sd="0" m="1" x="830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4"/>
        <item m="1" x="628"/>
        <item m="1" x="375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6"/>
        <item m="1" x="433"/>
        <item m="1" x="709"/>
        <item m="1" x="211"/>
        <item m="1" x="439"/>
        <item sd="0" m="1" x="103"/>
        <item sd="0" m="1" x="197"/>
        <item m="1" x="832"/>
        <item m="1" x="765"/>
        <item m="1" x="509"/>
        <item m="1" x="822"/>
        <item m="1" x="342"/>
        <item m="1" x="224"/>
        <item m="1" x="65"/>
        <item m="1" x="636"/>
        <item m="1" x="458"/>
        <item m="1" x="791"/>
        <item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4"/>
        <item m="1" x="16"/>
        <item m="1" x="233"/>
        <item m="1" x="242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6"/>
        <item m="1" x="317"/>
        <item m="1" x="380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3"/>
        <item m="1" x="590"/>
        <item m="1" x="748"/>
        <item sd="0" m="1" x="270"/>
        <item m="1" x="18"/>
        <item m="1" x="638"/>
        <item m="1" x="389"/>
        <item m="1" x="480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69"/>
        <item sd="0" m="1" x="336"/>
        <item sd="0" m="1" x="176"/>
        <item m="1" x="420"/>
        <item m="1" x="702"/>
        <item m="1" x="698"/>
        <item m="1" x="379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8"/>
        <item m="1" x="816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x="0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5"/>
        <item m="1" x="701"/>
        <item m="1" x="428"/>
        <item m="1" x="364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3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8"/>
        <item m="1" x="70"/>
        <item m="1" x="119"/>
        <item m="1" x="646"/>
        <item m="1" x="411"/>
        <item m="1" x="855"/>
        <item m="1" x="432"/>
        <item m="1" x="570"/>
        <item m="1" x="488"/>
        <item m="1" x="183"/>
        <item sd="0" m="1" x="374"/>
        <item m="1" x="243"/>
        <item m="1" x="338"/>
        <item m="1" x="528"/>
        <item m="1" x="423"/>
        <item m="1" x="789"/>
        <item m="1" x="302"/>
        <item m="1" x="310"/>
        <item x="1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1"/>
        <item m="1" x="247"/>
        <item m="1" x="398"/>
        <item sd="0" m="1" x="482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1"/>
        <item m="1" x="658"/>
        <item m="1" x="311"/>
        <item m="1" x="75"/>
        <item sd="0" m="1" x="670"/>
        <item m="1" x="95"/>
        <item m="1" x="440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7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5"/>
        <item m="1" x="359"/>
        <item sd="0" m="1" x="387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2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6"/>
        <item sd="0" m="1" x="409"/>
        <item m="1" x="474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5"/>
        <item m="1" x="745"/>
        <item m="1" x="80"/>
        <item m="1" x="52"/>
        <item m="1" x="852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5"/>
        <item m="1" x="410"/>
        <item m="1" x="693"/>
        <item m="1" x="442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5"/>
        <item m="1" x="577"/>
        <item m="1" x="361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5"/>
        <item m="1" x="36"/>
        <item m="1" x="312"/>
        <item m="1" x="826"/>
        <item m="1" x="563"/>
        <item m="1" x="63"/>
        <item m="1" x="569"/>
        <item m="1" x="431"/>
        <item m="1" x="426"/>
        <item m="1" x="177"/>
        <item m="1" x="367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378"/>
    </i>
    <i r="1">
      <x v="7998"/>
    </i>
    <i>
      <x v="469"/>
    </i>
    <i r="1">
      <x v="7999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2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1"/>
        <item m="1" x="506"/>
        <item sd="0" m="1" x="554"/>
        <item m="1" x="477"/>
        <item sd="0" m="1" x="245"/>
        <item m="1" x="849"/>
        <item m="1" x="833"/>
        <item m="1" x="743"/>
        <item m="1" x="241"/>
        <item m="1" x="240"/>
        <item m="1" x="462"/>
        <item m="1" x="287"/>
        <item m="1" x="550"/>
        <item m="1" x="846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8"/>
        <item m="1" x="516"/>
        <item m="1" x="319"/>
        <item m="1" x="592"/>
        <item m="1" x="596"/>
        <item m="1" x="733"/>
        <item m="1" x="786"/>
        <item m="1" x="184"/>
        <item m="1" x="836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2"/>
        <item m="1" x="629"/>
        <item m="1" x="737"/>
        <item m="1" x="421"/>
        <item m="1" x="81"/>
        <item m="1" x="697"/>
        <item m="1" x="285"/>
        <item m="1" x="847"/>
        <item m="1" x="249"/>
        <item sd="0" m="1" x="764"/>
        <item m="1" x="425"/>
        <item m="1" x="436"/>
        <item m="1" x="168"/>
        <item m="1" x="543"/>
        <item m="1" x="807"/>
        <item sd="0" m="1" x="621"/>
        <item m="1" x="5"/>
        <item m="1" x="771"/>
        <item m="1" x="15"/>
        <item m="1" x="740"/>
        <item m="1" x="393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7"/>
        <item m="1" x="353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5"/>
        <item m="1" x="396"/>
        <item m="1" x="259"/>
        <item m="1" x="377"/>
        <item m="1" x="850"/>
        <item sd="0" m="1" x="648"/>
        <item m="1" x="854"/>
        <item sd="0" m="1" x="830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4"/>
        <item m="1" x="628"/>
        <item m="1" x="375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6"/>
        <item m="1" x="433"/>
        <item m="1" x="709"/>
        <item m="1" x="211"/>
        <item m="1" x="439"/>
        <item sd="0" m="1" x="103"/>
        <item sd="0" m="1" x="197"/>
        <item m="1" x="832"/>
        <item m="1" x="765"/>
        <item m="1" x="509"/>
        <item m="1" x="822"/>
        <item m="1" x="342"/>
        <item m="1" x="224"/>
        <item m="1" x="65"/>
        <item m="1" x="636"/>
        <item m="1" x="458"/>
        <item m="1" x="791"/>
        <item sd="0"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4"/>
        <item m="1" x="16"/>
        <item m="1" x="233"/>
        <item m="1" x="242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6"/>
        <item m="1" x="317"/>
        <item m="1" x="380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3"/>
        <item m="1" x="590"/>
        <item m="1" x="748"/>
        <item sd="0" m="1" x="270"/>
        <item m="1" x="18"/>
        <item m="1" x="638"/>
        <item m="1" x="389"/>
        <item m="1" x="480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69"/>
        <item sd="0" m="1" x="336"/>
        <item sd="0" m="1" x="176"/>
        <item m="1" x="420"/>
        <item m="1" x="702"/>
        <item m="1" x="698"/>
        <item m="1" x="379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8"/>
        <item m="1" x="816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x="0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5"/>
        <item m="1" x="701"/>
        <item m="1" x="428"/>
        <item m="1" x="364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3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8"/>
        <item m="1" x="70"/>
        <item m="1" x="119"/>
        <item m="1" x="646"/>
        <item m="1" x="411"/>
        <item m="1" x="855"/>
        <item m="1" x="432"/>
        <item m="1" x="570"/>
        <item m="1" x="488"/>
        <item m="1" x="183"/>
        <item sd="0" m="1" x="374"/>
        <item m="1" x="243"/>
        <item m="1" x="338"/>
        <item m="1" x="528"/>
        <item m="1" x="423"/>
        <item m="1" x="789"/>
        <item m="1" x="302"/>
        <item m="1" x="310"/>
        <item x="1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1"/>
        <item m="1" x="247"/>
        <item m="1" x="398"/>
        <item sd="0" m="1" x="482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1"/>
        <item m="1" x="658"/>
        <item m="1" x="311"/>
        <item m="1" x="75"/>
        <item sd="0" m="1" x="670"/>
        <item m="1" x="95"/>
        <item m="1" x="440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7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5"/>
        <item m="1" x="359"/>
        <item sd="0" m="1" x="387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2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6"/>
        <item sd="0" m="1" x="409"/>
        <item m="1" x="474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5"/>
        <item m="1" x="745"/>
        <item m="1" x="80"/>
        <item m="1" x="52"/>
        <item m="1" x="852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5"/>
        <item m="1" x="410"/>
        <item m="1" x="693"/>
        <item m="1" x="442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5"/>
        <item m="1" x="577"/>
        <item m="1" x="361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5"/>
        <item m="1" x="36"/>
        <item m="1" x="312"/>
        <item m="1" x="826"/>
        <item m="1" x="563"/>
        <item m="1" x="63"/>
        <item m="1" x="569"/>
        <item m="1" x="431"/>
        <item m="1" x="426"/>
        <item m="1" x="177"/>
        <item m="1" x="367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78"/>
    </i>
    <i>
      <x v="469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6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0" s="1"/>
        <i x="1" s="1"/>
        <i x="2" s="1"/>
        <i x="819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2" s="1" nd="1"/>
        <i x="713" s="1" nd="1"/>
        <i x="297" s="1" nd="1"/>
        <i x="114" s="1" nd="1"/>
        <i x="272" s="1" nd="1"/>
        <i x="591" s="1" nd="1"/>
        <i x="325" s="1" nd="1"/>
        <i x="676" s="1" nd="1"/>
        <i x="502" s="1" nd="1"/>
        <i x="25" s="1" nd="1"/>
        <i x="582" s="1" nd="1"/>
        <i x="853" s="1" nd="1"/>
        <i x="21" s="1" nd="1"/>
        <i x="758" s="1" nd="1"/>
        <i x="113" s="1" nd="1"/>
        <i x="545" s="1" nd="1"/>
        <i x="829" s="1" nd="1"/>
        <i x="271" s="1" nd="1"/>
        <i x="479" s="1" nd="1"/>
        <i x="773" s="1" nd="1"/>
        <i x="267" s="1" nd="1"/>
        <i x="344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7" s="1" nd="1"/>
        <i x="476" s="1" nd="1"/>
        <i x="634" s="1" nd="1"/>
        <i x="446" s="1" nd="1"/>
        <i x="810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1" s="1" nd="1"/>
        <i x="323" s="1" nd="1"/>
        <i x="461" s="1" nd="1"/>
        <i x="506" s="1" nd="1"/>
        <i x="554" s="1" nd="1"/>
        <i x="477" s="1" nd="1"/>
        <i x="245" s="1" nd="1"/>
        <i x="849" s="1" nd="1"/>
        <i x="833" s="1" nd="1"/>
        <i x="743" s="1" nd="1"/>
        <i x="241" s="1" nd="1"/>
        <i x="240" s="1" nd="1"/>
        <i x="462" s="1" nd="1"/>
        <i x="287" s="1" nd="1"/>
        <i x="550" s="1" nd="1"/>
        <i x="846" s="1" nd="1"/>
        <i x="445" s="1" nd="1"/>
        <i x="530" s="1" nd="1"/>
        <i x="666" s="1" nd="1"/>
        <i x="519" s="1" nd="1"/>
        <i x="793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3" s="1" nd="1"/>
        <i x="408" s="1" nd="1"/>
        <i x="516" s="1" nd="1"/>
        <i x="319" s="1" nd="1"/>
        <i x="592" s="1" nd="1"/>
        <i x="596" s="1" nd="1"/>
        <i x="733" s="1" nd="1"/>
        <i x="786" s="1" nd="1"/>
        <i x="184" s="1" nd="1"/>
        <i x="836" s="1" nd="1"/>
        <i x="712" s="1" nd="1"/>
        <i x="378" s="1" nd="1"/>
        <i x="208" s="1" nd="1"/>
        <i x="522" s="1" nd="1"/>
        <i x="463" s="1" nd="1"/>
        <i x="139" s="1" nd="1"/>
        <i x="662" s="1" nd="1"/>
        <i x="372" s="1" nd="1"/>
        <i x="155" s="1" nd="1"/>
        <i x="252" s="1" nd="1"/>
        <i x="629" s="1" nd="1"/>
        <i x="737" s="1" nd="1"/>
        <i x="421" s="1" nd="1"/>
        <i x="81" s="1" nd="1"/>
        <i x="697" s="1" nd="1"/>
        <i x="285" s="1" nd="1"/>
        <i x="847" s="1" nd="1"/>
        <i x="249" s="1" nd="1"/>
        <i x="764" s="1" nd="1"/>
        <i x="425" s="1" nd="1"/>
        <i x="436" s="1" nd="1"/>
        <i x="168" s="1" nd="1"/>
        <i x="543" s="1" nd="1"/>
        <i x="807" s="1" nd="1"/>
        <i x="621" s="1" nd="1"/>
        <i x="5" s="1" nd="1"/>
        <i x="771" s="1" nd="1"/>
        <i x="15" s="1" nd="1"/>
        <i x="740" s="1" nd="1"/>
        <i x="393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3" s="1" nd="1"/>
        <i x="53" s="1" nd="1"/>
        <i x="650" s="1" nd="1"/>
        <i x="470" s="1" nd="1"/>
        <i x="250" s="1" nd="1"/>
        <i x="329" s="1" nd="1"/>
        <i x="437" s="1" nd="1"/>
        <i x="353" s="1" nd="1"/>
        <i x="572" s="1" nd="1"/>
        <i x="568" s="1" nd="1"/>
        <i x="734" s="1" nd="1"/>
        <i x="756" s="1" nd="1"/>
        <i x="121" s="1" nd="1"/>
        <i x="390" s="1" nd="1"/>
        <i x="89" s="1" nd="1"/>
        <i x="382" s="1" nd="1"/>
        <i x="815" s="1" nd="1"/>
        <i x="396" s="1" nd="1"/>
        <i x="259" s="1" nd="1"/>
        <i x="377" s="1" nd="1"/>
        <i x="850" s="1" nd="1"/>
        <i x="648" s="1" nd="1"/>
        <i x="854" s="1" nd="1"/>
        <i x="830" s="1" nd="1"/>
        <i x="107" s="1" nd="1"/>
        <i x="401" s="1" nd="1"/>
        <i x="115" s="1" nd="1"/>
        <i x="653" s="1" nd="1"/>
        <i x="657" s="1" nd="1"/>
        <i x="796" s="1" nd="1"/>
        <i x="696" s="1" nd="1"/>
        <i x="455" s="1" nd="1"/>
        <i x="381" s="1" nd="1"/>
        <i x="448" s="1" nd="1"/>
        <i x="160" s="1" nd="1"/>
        <i x="278" s="1" nd="1"/>
        <i x="204" s="1" nd="1"/>
        <i x="494" s="1" nd="1"/>
        <i x="290" s="1" nd="1"/>
        <i x="527" s="1" nd="1"/>
        <i x="258" s="1" nd="1"/>
        <i x="406" s="1" nd="1"/>
        <i x="841" s="1" nd="1"/>
        <i x="457" s="1" nd="1"/>
        <i x="478" s="1" nd="1"/>
        <i x="751" s="1" nd="1"/>
        <i x="639" s="1" nd="1"/>
        <i x="54" s="1" nd="1"/>
        <i x="794" s="1" nd="1"/>
        <i x="717" s="1" nd="1"/>
        <i x="417" s="1" nd="1"/>
        <i x="735" s="1" nd="1"/>
        <i x="814" s="1" nd="1"/>
        <i x="562" s="1" nd="1"/>
        <i x="559" s="1" nd="1"/>
        <i x="429" s="1" nd="1"/>
        <i x="715" s="1" nd="1"/>
        <i x="505" s="1" nd="1"/>
        <i x="174" s="1" nd="1"/>
        <i x="628" s="1" nd="1"/>
        <i x="375" s="1" nd="1"/>
        <i x="808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0" s="1" nd="1"/>
        <i x="118" s="1" nd="1"/>
        <i x="537" s="1" nd="1"/>
        <i x="84" s="1" nd="1"/>
        <i x="603" s="1" nd="1"/>
        <i x="450" s="1" nd="1"/>
        <i x="350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7" s="1" nd="1"/>
        <i x="111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6" s="1" nd="1"/>
        <i x="433" s="1" nd="1"/>
        <i x="709" s="1" nd="1"/>
        <i x="211" s="1" nd="1"/>
        <i x="439" s="1" nd="1"/>
        <i x="103" s="1" nd="1"/>
        <i x="197" s="1" nd="1"/>
        <i x="832" s="1" nd="1"/>
        <i x="765" s="1" nd="1"/>
        <i x="509" s="1" nd="1"/>
        <i x="822" s="1" nd="1"/>
        <i x="342" s="1" nd="1"/>
        <i x="224" s="1" nd="1"/>
        <i x="65" s="1" nd="1"/>
        <i x="636" s="1" nd="1"/>
        <i x="458" s="1" nd="1"/>
        <i x="791" s="1" nd="1"/>
        <i x="704" s="1" nd="1"/>
        <i x="235" s="1" nd="1"/>
        <i x="598" s="1" nd="1"/>
        <i x="44" s="1" nd="1"/>
        <i x="844" s="1" nd="1"/>
        <i x="124" s="1" nd="1"/>
        <i x="268" s="1" nd="1"/>
        <i x="293" s="1" nd="1"/>
        <i x="355" s="1" nd="1"/>
        <i x="99" s="1" nd="1"/>
        <i x="460" s="1" nd="1"/>
        <i x="581" s="1" nd="1"/>
        <i x="354" s="1" nd="1"/>
        <i x="104" s="1" nd="1"/>
        <i x="539" s="1" nd="1"/>
        <i x="209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4" s="1" nd="1"/>
        <i x="415" s="1" nd="1"/>
        <i x="419" s="1" nd="1"/>
        <i x="803" s="1" nd="1"/>
        <i x="42" s="1" nd="1"/>
        <i x="806" s="1" nd="1"/>
        <i x="487" s="1" nd="1"/>
        <i x="443" s="1" nd="1"/>
        <i x="399" s="1" nd="1"/>
        <i x="609" s="1" nd="1"/>
        <i x="154" s="1" nd="1"/>
        <i x="16" s="1" nd="1"/>
        <i x="233" s="1" nd="1"/>
        <i x="242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6" s="1" nd="1"/>
        <i x="317" s="1" nd="1"/>
        <i x="380" s="1" nd="1"/>
        <i x="540" s="1" nd="1"/>
        <i x="315" s="1" nd="1"/>
        <i x="340" s="1" nd="1"/>
        <i x="772" s="1" nd="1"/>
        <i x="144" s="1" nd="1"/>
        <i x="667" s="1" nd="1"/>
        <i x="840" s="1" nd="1"/>
        <i x="39" s="1" nd="1"/>
        <i x="383" s="1" nd="1"/>
        <i x="590" s="1" nd="1"/>
        <i x="748" s="1" nd="1"/>
        <i x="270" s="1" nd="1"/>
        <i x="18" s="1" nd="1"/>
        <i x="638" s="1" nd="1"/>
        <i x="389" s="1" nd="1"/>
        <i x="480" s="1" nd="1"/>
        <i x="345" s="1" nd="1"/>
        <i x="738" s="1" nd="1"/>
        <i x="246" s="1" nd="1"/>
        <i x="262" s="1" nd="1"/>
        <i x="275" s="1" nd="1"/>
        <i x="823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69" s="1" nd="1"/>
        <i x="336" s="1" nd="1"/>
        <i x="176" s="1" nd="1"/>
        <i x="420" s="1" nd="1"/>
        <i x="702" s="1" nd="1"/>
        <i x="698" s="1" nd="1"/>
        <i x="379" s="1" nd="1"/>
        <i x="349" s="1" nd="1"/>
        <i x="151" s="1" nd="1"/>
        <i x="760" s="1" nd="1"/>
        <i x="691" s="1" nd="1"/>
        <i x="22" s="1" nd="1"/>
        <i x="728" s="1" nd="1"/>
        <i x="781" s="1" nd="1"/>
        <i x="640" s="1" nd="1"/>
        <i x="330" s="1" nd="1"/>
        <i x="368" s="1" nd="1"/>
        <i x="816" s="1" nd="1"/>
        <i x="777" s="1" nd="1"/>
        <i x="145" s="1" nd="1"/>
        <i x="498" s="1" nd="1"/>
        <i x="467" s="1" nd="1"/>
        <i x="141" s="1" nd="1"/>
        <i x="757" s="1" nd="1"/>
        <i x="149" s="1" nd="1"/>
        <i x="225" s="1" nd="1"/>
        <i x="721" s="1" nd="1"/>
        <i x="556" s="1" nd="1"/>
        <i x="117" s="1" nd="1"/>
        <i x="376" s="1" nd="1"/>
        <i x="719" s="1" nd="1"/>
        <i x="128" s="1" nd="1"/>
        <i x="34" s="1" nd="1"/>
        <i x="303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3" s="1" nd="1"/>
        <i x="404" s="1" nd="1"/>
        <i x="742" s="1" nd="1"/>
        <i x="195" s="1" nd="1"/>
        <i x="747" s="1" nd="1"/>
        <i x="384" s="1" nd="1"/>
        <i x="138" s="1" nd="1"/>
        <i x="659" s="1" nd="1"/>
        <i x="430" s="1" nd="1"/>
        <i x="665" s="1" nd="1"/>
        <i x="493" s="1" nd="1"/>
        <i x="686" s="1" nd="1"/>
        <i x="328" s="1" nd="1"/>
        <i x="769" s="1" nd="1"/>
        <i x="805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8" s="1" nd="1"/>
        <i x="125" s="1" nd="1"/>
        <i x="465" s="1" nd="1"/>
        <i x="701" s="1" nd="1"/>
        <i x="428" s="1" nd="1"/>
        <i x="364" s="1" nd="1"/>
        <i x="101" s="1" nd="1"/>
        <i x="481" s="1" nd="1"/>
        <i x="608" s="1" nd="1"/>
        <i x="716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1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3" s="1" nd="1"/>
        <i x="736" s="1" nd="1"/>
        <i x="133" s="1" nd="1"/>
        <i x="87" s="1" nd="1"/>
        <i x="210" s="1" nd="1"/>
        <i x="682" s="1" nd="1"/>
        <i x="276" s="1" nd="1"/>
        <i x="472" s="1" nd="1"/>
        <i x="800" s="1" nd="1"/>
        <i x="218" s="1" nd="1"/>
        <i x="828" s="1" nd="1"/>
        <i x="70" s="1" nd="1"/>
        <i x="119" s="1" nd="1"/>
        <i x="646" s="1" nd="1"/>
        <i x="411" s="1" nd="1"/>
        <i x="855" s="1" nd="1"/>
        <i x="432" s="1" nd="1"/>
        <i x="570" s="1" nd="1"/>
        <i x="488" s="1" nd="1"/>
        <i x="183" s="1" nd="1"/>
        <i x="374" s="1" nd="1"/>
        <i x="243" s="1" nd="1"/>
        <i x="338" s="1" nd="1"/>
        <i x="528" s="1" nd="1"/>
        <i x="423" s="1" nd="1"/>
        <i x="789" s="1" nd="1"/>
        <i x="302" s="1" nd="1"/>
        <i x="310" s="1" nd="1"/>
        <i x="491" s="1" nd="1"/>
        <i x="663" s="1" nd="1"/>
        <i x="189" s="1" nd="1"/>
        <i x="660" s="1" nd="1"/>
        <i x="222" s="1" nd="1"/>
        <i x="449" s="1" nd="1"/>
        <i x="148" s="1" nd="1"/>
        <i x="363" s="1" nd="1"/>
        <i x="264" s="1" nd="1"/>
        <i x="292" s="1" nd="1"/>
        <i x="541" s="1" nd="1"/>
        <i x="811" s="1" nd="1"/>
        <i x="604" s="1" nd="1"/>
        <i x="32" s="1" nd="1"/>
        <i x="269" s="1" nd="1"/>
        <i x="752" s="1" nd="1"/>
        <i x="371" s="1" nd="1"/>
        <i x="247" s="1" nd="1"/>
        <i x="398" s="1" nd="1"/>
        <i x="482" s="1" nd="1"/>
        <i x="339" s="1" nd="1"/>
        <i x="613" s="1" nd="1"/>
        <i x="673" s="1" nd="1"/>
        <i x="839" s="1" nd="1"/>
        <i x="51" s="1" nd="1"/>
        <i x="606" s="1" nd="1"/>
        <i x="85" s="1" nd="1"/>
        <i x="327" s="1" nd="1"/>
        <i x="35" s="1" nd="1"/>
        <i x="496" s="1" nd="1"/>
        <i x="507" s="1" nd="1"/>
        <i x="447" s="1" nd="1"/>
        <i x="167" s="1" nd="1"/>
        <i x="134" s="1" nd="1"/>
        <i x="253" s="1" nd="1"/>
        <i x="301" s="1" nd="1"/>
        <i x="820" s="1" nd="1"/>
        <i x="170" s="1" nd="1"/>
        <i x="710" s="1" nd="1"/>
        <i x="172" s="1" nd="1"/>
        <i x="587" s="1" nd="1"/>
        <i x="228" s="1" nd="1"/>
        <i x="391" s="1" nd="1"/>
        <i x="658" s="1" nd="1"/>
        <i x="311" s="1" nd="1"/>
        <i x="75" s="1" nd="1"/>
        <i x="670" s="1" nd="1"/>
        <i x="95" s="1" nd="1"/>
        <i x="440" s="1" nd="1"/>
        <i x="352" s="1" nd="1"/>
        <i x="785" s="1" nd="1"/>
        <i x="499" s="1" nd="1"/>
        <i x="62" s="1" nd="1"/>
        <i x="456" s="1" nd="1"/>
        <i x="83" s="1" nd="1"/>
        <i x="326" s="1" nd="1"/>
        <i x="169" s="1" nd="1"/>
        <i x="333" s="1" nd="1"/>
        <i x="565" s="1" nd="1"/>
        <i x="504" s="1" nd="1"/>
        <i x="229" s="1" nd="1"/>
        <i x="282" s="1" nd="1"/>
        <i x="94" s="1" nd="1"/>
        <i x="407" s="1" nd="1"/>
        <i x="321" s="1" nd="1"/>
        <i x="711" s="1" nd="1"/>
        <i x="535" s="1" nd="1"/>
        <i x="645" s="1" nd="1"/>
        <i x="610" s="1" nd="1"/>
        <i x="835" s="1" nd="1"/>
        <i x="788" s="1" nd="1"/>
        <i x="29" s="1" nd="1"/>
        <i x="783" s="1" nd="1"/>
        <i x="254" s="1" nd="1"/>
        <i x="475" s="1" nd="1"/>
        <i x="813" s="1" nd="1"/>
        <i x="464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6" s="1" nd="1"/>
        <i x="824" s="1" nd="1"/>
        <i x="337" s="1" nd="1"/>
        <i x="524" s="1" nd="1"/>
        <i x="248" s="1" nd="1"/>
        <i x="11" s="1" nd="1"/>
        <i x="143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8" s="1" nd="1"/>
        <i x="782" s="1" nd="1"/>
        <i x="484" s="1" nd="1"/>
        <i x="314" s="1" nd="1"/>
        <i x="348" s="1" nd="1"/>
        <i x="283" s="1" nd="1"/>
        <i x="324" s="1" nd="1"/>
        <i x="845" s="1" nd="1"/>
        <i x="359" s="1" nd="1"/>
        <i x="387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1" s="1" nd="1"/>
        <i x="147" s="1" nd="1"/>
        <i x="171" s="1" nd="1"/>
        <i x="585" s="1" nd="1"/>
        <i x="804" s="1" nd="1"/>
        <i x="792" s="1" nd="1"/>
        <i x="201" s="1" nd="1"/>
        <i x="152" s="1" nd="1"/>
        <i x="237" s="1" nd="1"/>
        <i x="503" s="1" nd="1"/>
        <i x="787" s="1" nd="1"/>
        <i x="260" s="1" nd="1"/>
        <i x="753" s="1" nd="1"/>
        <i x="129" s="1" nd="1"/>
        <i x="212" s="1" nd="1"/>
        <i x="834" s="1" nd="1"/>
        <i x="586" s="1" nd="1"/>
        <i x="797" s="1" nd="1"/>
        <i x="727" s="1" nd="1"/>
        <i x="412" s="1" nd="1"/>
        <i x="26" s="1" nd="1"/>
        <i x="343" s="1" nd="1"/>
        <i x="490" s="1" nd="1"/>
        <i x="511" s="1" nd="1"/>
        <i x="770" s="1" nd="1"/>
        <i x="720" s="1" nd="1"/>
        <i x="761" s="1" nd="1"/>
        <i x="520" s="1" nd="1"/>
        <i x="643" s="1" nd="1"/>
        <i x="289" s="1" nd="1"/>
        <i x="181" s="1" nd="1"/>
        <i x="335" s="1" nd="1"/>
        <i x="818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6" s="1" nd="1"/>
        <i x="707" s="1" nd="1"/>
        <i x="620" s="1" nd="1"/>
        <i x="732" s="1" nd="1"/>
        <i x="471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4" s="1" nd="1"/>
        <i x="725" s="1" nd="1"/>
        <i x="842" s="1" nd="1"/>
        <i x="444" s="1" nd="1"/>
        <i x="194" s="1" nd="1"/>
        <i x="307" s="1" nd="1"/>
        <i x="341" s="1" nd="1"/>
        <i x="97" s="1" nd="1"/>
        <i x="695" s="1" nd="1"/>
        <i x="306" s="1" nd="1"/>
        <i x="356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1" s="1" nd="1"/>
        <i x="495" s="1" nd="1"/>
        <i x="395" s="1" nd="1"/>
        <i x="671" s="1" nd="1"/>
        <i x="186" s="1" nd="1"/>
        <i x="409" s="1" nd="1"/>
        <i x="474" s="1" nd="1"/>
        <i x="838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5" s="1" nd="1"/>
        <i x="745" s="1" nd="1"/>
        <i x="80" s="1" nd="1"/>
        <i x="52" s="1" nd="1"/>
        <i x="852" s="1" nd="1"/>
        <i x="30" s="1" nd="1"/>
        <i x="571" s="1" nd="1"/>
        <i x="513" s="1" nd="1"/>
        <i x="413" s="1" nd="1"/>
        <i x="703" s="1" nd="1"/>
        <i x="205" s="1" nd="1"/>
        <i x="644" s="1" nd="1"/>
        <i x="780" s="1" nd="1"/>
        <i x="468" s="1" nd="1"/>
        <i x="41" s="1" nd="1"/>
        <i x="694" s="1" nd="1"/>
        <i x="664" s="1" nd="1"/>
        <i x="809" s="1" nd="1"/>
        <i x="817" s="1" nd="1"/>
        <i x="625" s="1" nd="1"/>
        <i x="459" s="1" nd="1"/>
        <i x="692" s="1" nd="1"/>
        <i x="135" s="1" nd="1"/>
        <i x="410" s="1" nd="1"/>
        <i x="693" s="1" nd="1"/>
        <i x="442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30" s="1" nd="1"/>
        <i x="385" s="1" nd="1"/>
        <i x="577" s="1" nd="1"/>
        <i x="361" s="1" nd="1"/>
        <i x="451" s="1" nd="1"/>
        <i x="514" s="1" nd="1"/>
        <i x="123" s="1" nd="1"/>
        <i x="647" s="1" nd="1"/>
        <i x="49" s="1" nd="1"/>
        <i x="416" s="1" nd="1"/>
        <i x="146" s="1" nd="1"/>
        <i x="729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4" s="1" nd="1"/>
        <i x="27" s="1" nd="1"/>
        <i x="766" s="1" nd="1"/>
        <i x="414" s="1" nd="1"/>
        <i x="553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7" s="1" nd="1"/>
        <i x="230" s="1" nd="1"/>
        <i x="8" s="1" nd="1"/>
        <i x="473" s="1" nd="1"/>
        <i x="825" s="1" nd="1"/>
        <i x="36" s="1" nd="1"/>
        <i x="312" s="1" nd="1"/>
        <i x="826" s="1" nd="1"/>
        <i x="563" s="1" nd="1"/>
        <i x="63" s="1" nd="1"/>
        <i x="569" s="1" nd="1"/>
        <i x="431" s="1" nd="1"/>
        <i x="426" s="1" nd="1"/>
        <i x="177" s="1" nd="1"/>
        <i x="367" s="1" nd="1"/>
        <i x="759" s="1" nd="1"/>
        <i x="601" s="1" nd="1"/>
        <i x="13" s="1" nd="1"/>
        <i x="93" s="1" nd="1"/>
        <i x="438" s="1" nd="1"/>
        <i x="434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2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3" s="1" nd="1"/>
        <i x="837" s="1" nd="1"/>
        <i x="492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3626</v>
      </c>
      <c r="B2" s="12" t="s">
        <v>616</v>
      </c>
      <c r="C2" s="14">
        <v>46302</v>
      </c>
      <c r="D2" s="14">
        <v>46302</v>
      </c>
      <c r="E2" s="12"/>
      <c r="F2" s="15" t="s">
        <v>617</v>
      </c>
      <c r="G2" s="15" t="s">
        <v>618</v>
      </c>
      <c r="H2" s="15" t="s">
        <v>619</v>
      </c>
      <c r="I2" s="16">
        <v>758143.98</v>
      </c>
      <c r="J2" s="15" t="s">
        <v>620</v>
      </c>
      <c r="K2" s="15" t="s">
        <v>621</v>
      </c>
      <c r="L2" s="15" t="s">
        <v>622</v>
      </c>
      <c r="M2" s="15">
        <v>14790</v>
      </c>
      <c r="N2" s="15">
        <v>164</v>
      </c>
      <c r="O2" s="16">
        <v>4500</v>
      </c>
      <c r="P2" s="15" t="s">
        <v>623</v>
      </c>
      <c r="Q2" s="15">
        <v>0</v>
      </c>
      <c r="R2" s="15" t="s">
        <v>623</v>
      </c>
      <c r="S2" s="15">
        <v>0</v>
      </c>
      <c r="T2" s="15" t="s">
        <v>624</v>
      </c>
      <c r="U2" s="15">
        <v>0</v>
      </c>
      <c r="V2" s="15">
        <v>1035.3</v>
      </c>
      <c r="W2" s="15">
        <v>0</v>
      </c>
      <c r="X2" s="15">
        <v>0</v>
      </c>
      <c r="Y2" s="15">
        <v>303.26</v>
      </c>
      <c r="Z2" s="15">
        <v>0</v>
      </c>
      <c r="AA2" s="15">
        <v>10872.99</v>
      </c>
      <c r="AB2" s="15">
        <v>3917.01</v>
      </c>
      <c r="AC2" s="15">
        <v>3845.4</v>
      </c>
      <c r="AD2" s="15">
        <v>-341.03</v>
      </c>
      <c r="AE2" s="15">
        <v>0</v>
      </c>
      <c r="AF2" s="15">
        <v>-341.03</v>
      </c>
      <c r="AG2" s="17">
        <v>-2.3099999999999999E-2</v>
      </c>
      <c r="AH2" s="15"/>
    </row>
    <row r="3" spans="1:34" s="1" customFormat="1" ht="12" customHeight="1" x14ac:dyDescent="0.3">
      <c r="A3" s="13">
        <v>3630</v>
      </c>
      <c r="B3" s="12" t="s">
        <v>616</v>
      </c>
      <c r="C3" s="14">
        <v>46302</v>
      </c>
      <c r="D3" s="14">
        <v>46302</v>
      </c>
      <c r="E3" s="12"/>
      <c r="F3" s="15" t="s">
        <v>625</v>
      </c>
      <c r="G3" s="15" t="s">
        <v>626</v>
      </c>
      <c r="H3" s="15" t="s">
        <v>627</v>
      </c>
      <c r="I3" s="16">
        <v>17002.919999999998</v>
      </c>
      <c r="J3" s="15" t="s">
        <v>628</v>
      </c>
      <c r="K3" s="15" t="s">
        <v>621</v>
      </c>
      <c r="L3" s="15" t="s">
        <v>629</v>
      </c>
      <c r="M3" s="16">
        <v>722.2</v>
      </c>
      <c r="N3" s="15">
        <v>46</v>
      </c>
      <c r="O3" s="16">
        <v>772.62</v>
      </c>
      <c r="P3" s="15" t="s">
        <v>630</v>
      </c>
      <c r="Q3" s="15">
        <v>58.3</v>
      </c>
      <c r="R3" s="15" t="s">
        <v>631</v>
      </c>
      <c r="S3" s="15">
        <v>190.66</v>
      </c>
      <c r="T3" s="15" t="s">
        <v>624</v>
      </c>
      <c r="U3" s="15">
        <v>0</v>
      </c>
      <c r="V3" s="15">
        <v>86.66</v>
      </c>
      <c r="W3" s="15">
        <v>0</v>
      </c>
      <c r="X3" s="15">
        <v>0</v>
      </c>
      <c r="Y3" s="15">
        <v>6.8</v>
      </c>
      <c r="Z3" s="15">
        <v>0</v>
      </c>
      <c r="AA3" s="16">
        <v>807.99</v>
      </c>
      <c r="AB3" s="16">
        <v>-85.79</v>
      </c>
      <c r="AC3" s="15">
        <v>187.77</v>
      </c>
      <c r="AD3" s="15">
        <v>-273.56</v>
      </c>
      <c r="AE3" s="15">
        <v>0</v>
      </c>
      <c r="AF3" s="15">
        <v>-273.56</v>
      </c>
      <c r="AG3" s="17">
        <v>-0.37880000000000003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15512.2</v>
      </c>
      <c r="F3" s="89"/>
      <c r="G3" s="90"/>
      <c r="H3" s="133">
        <f>'Resumo Detalhado'!C2</f>
        <v>5272.62</v>
      </c>
      <c r="I3" s="134"/>
      <c r="J3" s="135">
        <f>E3/H3</f>
        <v>2.9420288205863501</v>
      </c>
      <c r="K3" s="136"/>
      <c r="L3" s="137"/>
      <c r="M3" s="138" t="s">
        <v>236</v>
      </c>
      <c r="N3" s="89"/>
      <c r="O3" s="90"/>
      <c r="P3" s="106">
        <v>3500</v>
      </c>
      <c r="Q3" s="107"/>
      <c r="R3" s="108"/>
      <c r="S3" s="103">
        <f>MIN(H3/P3,1)</f>
        <v>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10058.299999999999</v>
      </c>
      <c r="F7" s="112"/>
      <c r="G7" s="112"/>
      <c r="H7" s="112"/>
      <c r="I7" s="112"/>
      <c r="J7" s="112">
        <f>E7/H3</f>
        <v>1.9076474314477432</v>
      </c>
      <c r="K7" s="112"/>
      <c r="L7" s="112"/>
      <c r="M7" s="130">
        <f>E7/E3</f>
        <v>0.64841221748043465</v>
      </c>
      <c r="N7" s="130"/>
      <c r="O7" s="130"/>
      <c r="P7" s="112">
        <f>E11+K11+Q11+E15+K15+Q15+E19+H19+K19</f>
        <v>15213.248</v>
      </c>
      <c r="Q7" s="112"/>
      <c r="R7" s="112"/>
      <c r="S7" s="112">
        <f>P7/H3</f>
        <v>2.8853298739526081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10000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10000</v>
      </c>
      <c r="L11" s="90"/>
      <c r="M11" s="38"/>
      <c r="N11" s="88">
        <f>K11/H3</f>
        <v>1.8965903099407886</v>
      </c>
      <c r="O11" s="90"/>
      <c r="P11" s="38"/>
      <c r="Q11" s="88">
        <f>'Resumo Detalhado'!D2</f>
        <v>58.3</v>
      </c>
      <c r="R11" s="90"/>
      <c r="S11" s="38"/>
      <c r="T11" s="88">
        <f>Q11/H3</f>
        <v>1.1057121506954797E-2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1121.96</v>
      </c>
      <c r="F15" s="119"/>
      <c r="G15" s="119"/>
      <c r="H15" s="119"/>
      <c r="I15" s="132"/>
      <c r="J15" s="38"/>
      <c r="K15" s="113">
        <f>'Resumo Detalhado'!K2+'Resumo Detalhado'!L2</f>
        <v>2481.9520000000002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310.06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1240.9760000000001</v>
      </c>
      <c r="L19" s="123"/>
      <c r="M19" s="38"/>
      <c r="N19" s="121" t="s">
        <v>632</v>
      </c>
      <c r="O19" s="119"/>
      <c r="P19" s="119"/>
      <c r="Q19" s="119"/>
      <c r="R19" s="120"/>
      <c r="S19" s="121">
        <v>10000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12590.244000000001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0.81163497118397132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664062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2" width="12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633</v>
      </c>
      <c r="F1" s="29"/>
    </row>
    <row r="2" spans="1:18" x14ac:dyDescent="0.3">
      <c r="B2" s="29">
        <f>SUM(B6:B5000)</f>
        <v>15512.2</v>
      </c>
      <c r="C2" s="29">
        <f>SUM(C6:C5000)</f>
        <v>5272.62</v>
      </c>
      <c r="D2" s="29">
        <f>SUM(D6:D5000)</f>
        <v>58.3</v>
      </c>
      <c r="E2" s="29">
        <f>SUM(E6:E5000)</f>
        <v>190.66</v>
      </c>
      <c r="F2" s="29">
        <f>SUM(F6:F5000)</f>
        <v>0</v>
      </c>
      <c r="G2" s="29"/>
      <c r="H2" s="29">
        <f t="shared" ref="H2:P2" si="0">SUM(H6:H5000)</f>
        <v>1121.96</v>
      </c>
      <c r="I2" s="29">
        <f t="shared" si="0"/>
        <v>310.06</v>
      </c>
      <c r="J2" s="29">
        <f t="shared" si="0"/>
        <v>0</v>
      </c>
      <c r="K2" s="29">
        <f t="shared" si="0"/>
        <v>1240.9760000000001</v>
      </c>
      <c r="L2" s="29">
        <f t="shared" si="0"/>
        <v>1240.9760000000001</v>
      </c>
      <c r="M2" s="29">
        <f t="shared" si="0"/>
        <v>0</v>
      </c>
      <c r="N2" s="29">
        <f t="shared" si="0"/>
        <v>12590.244000000001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3626</v>
      </c>
      <c r="B6" s="139">
        <v>14790</v>
      </c>
      <c r="C6" s="140">
        <v>4500</v>
      </c>
      <c r="D6" s="139">
        <v>0</v>
      </c>
      <c r="E6" s="139">
        <v>0</v>
      </c>
      <c r="F6" s="139">
        <v>0</v>
      </c>
      <c r="G6" s="141">
        <v>0</v>
      </c>
      <c r="H6" s="139">
        <v>1035.3</v>
      </c>
      <c r="I6" s="139">
        <v>303.26</v>
      </c>
      <c r="J6" s="139">
        <v>0</v>
      </c>
      <c r="K6" s="139">
        <v>1183.2</v>
      </c>
      <c r="L6" s="139">
        <v>1183.2</v>
      </c>
      <c r="M6" s="139">
        <v>0</v>
      </c>
      <c r="N6" s="139">
        <v>12268.24</v>
      </c>
      <c r="O6" s="141">
        <v>0.82949560513860721</v>
      </c>
      <c r="Q6"/>
    </row>
    <row r="7" spans="1:18" s="31" customFormat="1" x14ac:dyDescent="0.3">
      <c r="A7" s="9" t="s">
        <v>626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3630</v>
      </c>
      <c r="B8" s="139">
        <v>722.2</v>
      </c>
      <c r="C8" s="140">
        <v>772.62</v>
      </c>
      <c r="D8" s="139">
        <v>58.3</v>
      </c>
      <c r="E8" s="139">
        <v>190.66</v>
      </c>
      <c r="F8" s="139">
        <v>0</v>
      </c>
      <c r="G8" s="141">
        <v>0.34472445306009408</v>
      </c>
      <c r="H8" s="139">
        <v>86.66</v>
      </c>
      <c r="I8" s="139">
        <v>6.8</v>
      </c>
      <c r="J8" s="139">
        <v>0</v>
      </c>
      <c r="K8" s="139">
        <v>57.776000000000003</v>
      </c>
      <c r="L8" s="139">
        <v>57.776000000000003</v>
      </c>
      <c r="M8" s="139">
        <v>0</v>
      </c>
      <c r="N8" s="139">
        <v>322.00400000000013</v>
      </c>
      <c r="O8" s="141">
        <v>0.44586541124342305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633</v>
      </c>
    </row>
    <row r="2" spans="1:4" x14ac:dyDescent="0.3">
      <c r="B2" s="29">
        <f>SUM(B6:B5000)</f>
        <v>722.2</v>
      </c>
      <c r="C2" s="29">
        <f>SUM(C6:C5000)</f>
        <v>322.00400000000013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14790</v>
      </c>
      <c r="C5" s="10">
        <v>12268.24</v>
      </c>
    </row>
    <row r="6" spans="1:4" x14ac:dyDescent="0.3">
      <c r="A6" s="9" t="s">
        <v>626</v>
      </c>
      <c r="B6" s="139">
        <v>722.2</v>
      </c>
      <c r="C6" s="139">
        <v>322.00400000000013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2" t="s">
        <v>632</v>
      </c>
      <c r="D395" s="87">
        <v>10000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2026-10-13T13:41:55Z</dcterms:modified>
  <cp:category/>
  <cp:contentStatus/>
</cp:coreProperties>
</file>