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95E2943-11D3-455E-9117-36A80E95CB3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<sst xmlns="http://schemas.openxmlformats.org/spreadsheetml/2006/main" count="874" uniqueCount="600">
  <si>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</si>
  <si>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</si>
  <si>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</si>
  <si>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</si>
  <si>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</si>
  <si>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</si>
  <si>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</si>
  <si>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</si>
  <si>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</si>
  <si>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</si>
  <si>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</si>
  <si>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</si>
  <si>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</si>
  <si>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</si>
  <si>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</si>
  <si>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</si>
  <si>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</si>
  <si>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</si>
  <si>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</si>
  <si>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</si>
  <si>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</si>
  <si>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</si>
  <si>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</si>
  <si>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</si>
  <si>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</si>
  <si>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</si>
  <si>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</si>
  <si>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</si>
  <si>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</si>
  <si>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</si>
  <si>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</si>
  <si>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</si>
  <si>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</si>
  <si>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</si>
  <si>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</si>
  <si>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</si>
  <si>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</si>
  <si>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</si>
  <si>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</si>
  <si>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</si>
  <si>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</si>
  <si>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</si>
  <si>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</si>
  <si>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</si>
  <si>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</si>
  <si>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</si>
  <si>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</si>
  <si>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</si>
  <si>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</si>
  <si>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</si>
  <si>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</si>
  <si>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</si>
  <si>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</si>
  <si>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</si>
  <si>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</si>
  <si>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</si>
  <si>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</si>
  <si>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</si>
  <si>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</si>
  <si>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</si>
  <si>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</si>
  <si>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</si>
  <si>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</si>
  <si>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</si>
  <si>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</si>
  <si>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</si>
  <si>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</si>
  <si>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</si>
  <si>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</si>
  <si>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</si>
  <si>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</si>
  <si>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</si>
  <si>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</si>
  <si>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</si>
  <si>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</si>
  <si>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</si>
  <si>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</si>
  <si>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</si>
  <si>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</si>
  <si>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</si>
  <si>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</si>
  <si>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</si>
  <si>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</si>
  <si>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</si>
  <si>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</si>
  <si>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</si>
  <si>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</si>
  <si>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</si>
  <si>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</si>
  <si>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</si>
  <si>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</si>
  <si>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</si>
  <si>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</si>
  <si>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</si>
  <si>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</si>
  <si>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</si>
  <si>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</si>
  <si>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</si>
  <si>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</si>
  <si>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</si>
  <si>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</si>
  <si>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</si>
  <si>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</si>
  <si>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</si>
  <si>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</si>
  <si>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</si>
  <si>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</si>
  <si>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</si>
  <si>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</si>
  <si>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</si>
  <si>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</si>
  <si>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</si>
  <si>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</si>
  <si>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</si>
  <si>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</si>
  <si>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</si>
  <si>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</si>
  <si>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</si>
  <si>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</si>
  <si>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</si>
  <si>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</si>
  <si>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</si>
  <si>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</si>
  <si>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</si>
  <si>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</si>
  <si>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</si>
  <si>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</si>
  <si>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</si>
  <si>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</si>
  <si>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</si>
  <si>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</si>
  <si>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</si>
  <si>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</si>
  <si>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</si>
  <si>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</si>
  <si>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</si>
  <si>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</si>
  <si>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</si>
  <si>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</si>
  <si>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</si>
  <si>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</si>
  <si>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</si>
  <si>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</si>
  <si>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</si>
  <si>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</si>
  <si>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</si>
  <si>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</si>
  <si>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</si>
  <si>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</si>
  <si>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</si>
  <si>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</si>
  <si>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</si>
  <si>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</si>
  <si>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</si>
  <si>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</si>
  <si>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</si>
  <si>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</si>
  <si>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</si>
  <si>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</si>
  <si>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</si>
  <si>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</si>
  <si>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</si>
  <si>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</si>
  <si>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</si>
  <si>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</si>
  <si>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</si>
  <si>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</si>
  <si>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</si>
  <si>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</si>
  <si>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</si>
  <si>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</si>
  <si>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</si>
  <si>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</si>
  <si>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</si>
  <si>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</si>
  <si>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</si>
  <si>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</si>
  <si>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</si>
  <si>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</si>
  <si>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</si>
  <si>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</si>
  <si>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</si>
  <si>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</si>
  <si>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</si>
  <si>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</si>
  <si>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</si>
  <si>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</si>
  <si>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</si>
  <si>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</si>
  <si>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</si>
  <si>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</si>
  <si>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</si>
  <si>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</si>
  <si>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</si>
  <si>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</si>
  <si>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</si>
  <si>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</si>
  <si>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</si>
  <si>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</si>
  <si>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</si>
  <si>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</si>
  <si>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</si>
  <si>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</si>
  <si>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</si>
  <si>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</si>
  <si>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</si>
  <si>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</si>
  <si>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</si>
  <si>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</si>
  <si>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</si>
  <si>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</si>
  <si>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</si>
  <si>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</si>
  <si>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</si>
  <si>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</si>
  <si>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</si>
  <si>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</si>
  <si>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</si>
  <si>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</si>
  <si>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</si>
  <si>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</si>
  <si>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</si>
  <si>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</si>
  <si>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</si>
  <si>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</si>
  <si>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</si>
  <si>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</si>
  <si>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</si>
  <si>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</si>
  <si>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</si>
  <si>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</si>
  <si>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</si>
  <si>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</si>
  <si>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</si>
  <si>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</si>
  <si>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</si>
  <si>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</si>
  <si>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</si>
  <si>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</si>
  <si>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</si>
  <si>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</si>
  <si>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</si>
  <si>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</si>
  <si>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</si>
  <si>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</si>
  <si>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</si>
  <si>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</si>
  <si>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</si>
  <si>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</si>
  <si>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</si>
  <si>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</si>
  <si>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</si>
  <si>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</si>
  <si>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</si>
  <si>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</si>
  <si>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</si>
  <si>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</si>
  <si>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</si>
  <si>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</si>
  <si>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</si>
  <si>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</si>
  <si>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</si>
  <si>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</si>
  <si>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</si>
  <si>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</si>
  <si>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</si>
  <si>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</si>
  <si>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</si>
  <si>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</si>
  <si>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</si>
  <si>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</si>
  <si>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</si>
  <si>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</si>
  <si>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</si>
  <si>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</si>
  <si>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</si>
  <si>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</si>
  <si>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</si>
  <si>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</si>
  <si>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</si>
  <si>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</si>
  <si>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</si>
  <si>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</si>
  <si>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</si>
  <si>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</si>
  <si>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</si>
  <si>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</si>
  <si>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</si>
  <si>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</si>
  <si>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</si>
  <si>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</si>
  <si>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</si>
  <si>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</si>
  <si>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</si>
  <si>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</si>
  <si>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</si>
  <si>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</si>
  <si>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</si>
  <si>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</si>
  <si>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</si>
  <si>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</si>
  <si>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</si>
  <si>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</si>
  <si>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</si>
  <si>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</si>
  <si>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</si>
  <si>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</si>
  <si>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</si>
  <si>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</si>
  <si>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</si>
  <si>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</si>
  <si>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</si>
  <si>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</si>
  <si>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</si>
  <si>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</si>
  <si>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</si>
  <si>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</si>
  <si>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</si>
  <si>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</si>
  <si>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</si>
  <si>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</si>
  <si>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</si>
  <si>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</si>
  <si>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</si>
  <si>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</si>
  <si>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</si>
  <si>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</si>
  <si>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</si>
  <si>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</si>
  <si>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</si>
  <si>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</si>
  <si>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</si>
  <si>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</si>
  <si>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</si>
  <si>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</si>
  <si>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</si>
  <si>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</si>
  <si>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</si>
  <si>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</si>
  <si>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</si>
  <si>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</si>
  <si>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</si>
  <si>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</si>
  <si>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</si>
  <si>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</si>
  <si>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</si>
  <si>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</si>
  <si>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</si>
  <si>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</si>
  <si>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</si>
  <si>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</si>
  <si>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</si>
  <si>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</si>
  <si>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</si>
  <si>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</si>
  <si>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</si>
  <si>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</si>
  <si>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</si>
  <si>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</si>
  <si>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</si>
  <si>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</si>
  <si>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</si>
  <si>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</si>
  <si>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</si>
  <si>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</si>
  <si>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</si>
  <si>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</si>
  <si>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</si>
  <si>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</si>
  <si>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</si>
  <si>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</si>
  <si>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</si>
  <si>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</si>
  <si>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</si>
  <si>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</si>
  <si>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</si>
  <si>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</si>
  <si>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</si>
  <si>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</si>
  <si>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</si>
  <si>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</si>
  <si>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</si>
  <si>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</si>
  <si>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</si>
  <si>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</si>
  <si>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</si>
  <si>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</si>
  <si>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</si>
  <si>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</si>
  <si>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</si>
  <si>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</si>
  <si>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</si>
  <si>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</si>
  <si>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</si>
  <si>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</si>
  <si>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</si>
  <si>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</si>
  <si>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</si>
  <si>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</si>
  <si>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</si>
  <si>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</si>
  <si>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</si>
  <si>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</si>
  <si>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</si>
  <si>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</si>
  <si>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</si>
  <si>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</si>
  <si>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</si>
  <si>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</si>
  <si>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</si>
  <si>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</si>
  <si>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</si>
  <si>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</si>
  <si>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</si>
  <si>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</si>
  <si>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</si>
  <si>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</si>
  <si>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</si>
  <si>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</si>
  <si>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</si>
  <si>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</si>
  <si>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</si>
  <si>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</si>
  <si>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</si>
  <si>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</si>
  <si>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</si>
  <si>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</si>
  <si>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</si>
  <si>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</si>
  <si>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</si>
  <si>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</si>
  <si>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</si>
  <si>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</si>
  <si>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</si>
  <si>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</si>
  <si>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</si>
  <si>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</si>
  <si>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</si>
  <si>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</si>
  <si>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</si>
  <si>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</si>
  <si>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</si>
  <si>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</si>
  <si>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</si>
  <si>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</si>
  <si>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</si>
  <si>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</si>
  <si>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</si>
  <si>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</si>
  <si>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</si>
  <si>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</si>
  <si>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</si>
  <si>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</si>
  <si>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</si>
  <si>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</si>
  <si>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</si>
  <si>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</si>
  <si>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</si>
  <si>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</si>
  <si>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</si>
  <si>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</si>
  <si>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</si>
  <si>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</si>
  <si>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</si>
  <si>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</si>
  <si>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</si>
  <si>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</si>
  <si>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</si>
  <si>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</si>
  <si>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</si>
  <si>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</si>
  <si>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</si>
  <si>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</si>
  <si>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</si>
  <si>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</si>
  <si>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</si>
  <si>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</si>
  <si>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</si>
  <si>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</si>
  <si>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</si>
  <si>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</si>
  <si>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</si>
  <si>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</si>
  <si>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</si>
  <si>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</si>
  <si>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</si>
  <si>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</si>
  <si>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</si>
  <si>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</si>
  <si>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</si>
  <si>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</si>
  <si>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</si>
  <si>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</si>
  <si>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</si>
  <si>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</si>
  <si>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</si>
  <si>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</si>
  <si>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</si>
  <si>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</si>
  <si>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</si>
  <si>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</si>
  <si>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</si>
  <si>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</si>
  <si>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</si>
  <si>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</si>
  <si>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</si>
  <si>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</si>
  <si>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</si>
  <si>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</si>
  <si>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</si>
  <si>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</si>
  <si>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</si>
  <si>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</si>
  <si>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</si>
  <si>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</si>
  <si>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</si>
  <si>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</si>
  <si>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</si>
  <si>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</si>
  <si>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</si>
  <si>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</si>
  <si>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</si>
  <si>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</si>
  <si>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</si>
  <si>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</si>
  <si>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</si>
  <si>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</si>
  <si>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</si>
  <si>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</si>
  <si>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</si>
  <si>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</si>
  <si>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</si>
  <si>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</si>
  <si>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</si>
  <si>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</si>
  <si>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</si>
  <si>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</si>
  <si>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</si>
  <si>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</si>
  <si>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</si>
  <si>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</si>
  <si>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</si>
  <si>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</si>
  <si>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</si>
  <si>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</si>
  <si>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</si>
  <si>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</si>
  <si>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</si>
  <si>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</si>
  <si>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</si>
  <si>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</si>
  <si>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</si>
  <si>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</si>
  <si>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</si>
  <si>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</si>
  <si>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</si>
  <si>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</si>
  <si>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</si>
  <si>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</si>
  <si>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</si>
  <si>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</si>
  <si>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</si>
  <si>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</si>
  <si>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</si>
  <si>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</si>
  <si>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</si>
  <si>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</si>
  <si>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</si>
  <si>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</si>
  <si>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</si>
  <si>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</si>
  <si>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</si>
  <si>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</si>
  <si>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</si>
  <si>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</si>
  <si>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</si>
  <si>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</si>
  <si>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</si>
  <si>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</si>
  <si>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</si>
  <si>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</si>
  <si>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</si>
  <si>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</si>
  <si>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</si>
  <si>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</si>
  <si>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203026-1</t>
  </si>
  <si>
    <t>MERIDIAN DISTRI</t>
  </si>
  <si>
    <t>URIEL CORREA</t>
  </si>
  <si>
    <t>ECONOMICO_250</t>
  </si>
  <si>
    <t>CTE NORMAL</t>
  </si>
  <si>
    <t>SAO BERNARDO DO CAMPO - SP</t>
  </si>
  <si>
    <t>JOSE EMILTON DA COSTA - O</t>
  </si>
  <si>
    <t>UILIAN PRAZITO RODRIGUES.</t>
  </si>
  <si>
    <t>203196-1</t>
  </si>
  <si>
    <t>SAINT GERMAN BR</t>
  </si>
  <si>
    <t>TIAGO SANTANA</t>
  </si>
  <si>
    <t>PERSONALIZADO_L</t>
  </si>
  <si>
    <t>CAMBORIU - SC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</si>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</sst>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SAINT GERMAN BR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79.56</c:v>
                </c:pt>
                <c:pt idx="1">
                  <c:v>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SAINT GERMAN BR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21.525199999999998</c:v>
                </c:pt>
                <c:pt idx="1">
                  <c:v>3994.3399999999997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SAINT GERMAN BR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79.56</c:v>
                </c:pt>
                <c:pt idx="1">
                  <c:v>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SAINT GERMAN BR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21.525199999999998</c:v>
                </c:pt>
                <c:pt idx="1">
                  <c:v>3994.3399999999997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3873842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129" count="8000">
        <n v="300621"/>
        <n v="30112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6T00:00:00"/>
    </cacheField>
    <cacheField name="DATA" numFmtId="14">
      <sharedItems containsNonDate="0" containsDate="1" containsString="0" containsBlank="1" minDate="2026-09-11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MERIDIAN DISTRI"/>
        <s v="SAINT GERMAN B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1.02" maxValue="56760.5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9.56" maxValue="5200"/>
    </cacheField>
    <cacheField name="VOLUMES" numFmtId="0">
      <sharedItems containsString="0" containsBlank="1" containsNumber="1" containsInteger="1" minValue="1" maxValue="250"/>
    </cacheField>
    <cacheField name="PESO" numFmtId="0">
      <sharedItems containsString="0" containsBlank="1" containsNumber="1" minValue="2.34" maxValue="926.4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.5500000000000007" maxValue="62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2" maxValue="28.3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5.87" maxValue="3146.08"/>
    </cacheField>
    <cacheField name="RECEITA" numFmtId="0">
      <sharedItems containsString="0" containsBlank="1" containsNumber="1" minValue="23.69" maxValue="2053.92"/>
    </cacheField>
    <cacheField name="IMPOSTO" numFmtId="0">
      <sharedItems containsString="0" containsBlank="1" containsNumber="1" minValue="20.69" maxValue="1352"/>
    </cacheField>
    <cacheField name="RESULTADO" numFmtId="0">
      <sharedItems containsString="0" containsBlank="1" containsNumber="1" minValue="3" maxValue="701.92"/>
    </cacheField>
    <cacheField name="COMIS" numFmtId="0">
      <sharedItems containsString="0" containsBlank="1" containsNumber="1" minValue="2.1" maxValue="137.28"/>
    </cacheField>
    <cacheField name="LUCRO LIQ" numFmtId="0">
      <sharedItems containsString="0" containsBlank="1" containsNumber="1" minValue="0.9" maxValue="564.64"/>
    </cacheField>
    <cacheField name="MARGEM" numFmtId="10">
      <sharedItems containsString="0" containsBlank="1" containsNumber="1" minValue="1.1299999999999999E-2" maxValue="0.1085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1T00:00:00"/>
    <d v="2026-09-11T00:00:00"/>
    <m/>
    <s v="203026-1"/>
    <x v="0"/>
    <s v="URIEL CORREA"/>
    <n v="31.02"/>
    <x v="0"/>
    <s v="CTE NORMAL"/>
    <s v="SAO BERNARDO DO CAMPO - SP"/>
    <n v="79.56"/>
    <n v="1"/>
    <n v="2.34"/>
    <s v="MATRIZ"/>
    <n v="0"/>
    <s v="JOSE EMILTON DA COSTA - O"/>
    <n v="40"/>
    <s v="UILIAN PRAZITO RODRIGUES."/>
    <n v="0"/>
    <n v="9.5500000000000007"/>
    <n v="0"/>
    <n v="0"/>
    <n v="0.02"/>
    <n v="0"/>
    <n v="55.87"/>
    <n v="23.69"/>
    <n v="20.69"/>
    <n v="3"/>
    <n v="2.1"/>
    <n v="0.9"/>
    <n v="1.1299999999999999E-2"/>
    <m/>
  </r>
  <r>
    <x v="1"/>
    <s v="MATRIZ"/>
    <d v="2026-09-15T00:00:00"/>
    <d v="2026-09-15T00:00:00"/>
    <m/>
    <s v="203196-1"/>
    <x v="1"/>
    <s v="TIAGO SANTANA"/>
    <n v="56760.51"/>
    <x v="1"/>
    <s v="CTE NORMAL"/>
    <s v="CAMBORIU - SC"/>
    <n v="5200"/>
    <n v="250"/>
    <n v="926.44"/>
    <s v="N/D"/>
    <n v="0"/>
    <s v="N/D"/>
    <n v="0"/>
    <s v="UILIAN PRAZITO RODRIGUES."/>
    <n v="0"/>
    <n v="624"/>
    <n v="0"/>
    <n v="0"/>
    <n v="28.38"/>
    <n v="0"/>
    <n v="3146.08"/>
    <n v="2053.92"/>
    <n v="1352"/>
    <n v="701.92"/>
    <n v="137.28"/>
    <n v="564.64"/>
    <n v="0.1085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0"/>
        <item m="1" x="110"/>
        <item m="1" x="622"/>
        <item m="1" x="142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2"/>
        <item m="1" x="137"/>
        <item m="1" x="294"/>
        <item m="1" x="602"/>
        <item m="1" x="207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7"/>
        <item sd="0" m="1" x="307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7"/>
        <item sd="0" m="1" x="204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5"/>
        <item m="1" x="304"/>
        <item m="1" x="175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1"/>
        <item m="1" x="224"/>
        <item m="1" x="65"/>
        <item m="1" x="636"/>
        <item m="1" x="458"/>
        <item m="1" x="791"/>
        <item m="1" x="704"/>
        <item m="1" x="234"/>
        <item m="1" x="598"/>
        <item m="1" x="44"/>
        <item sd="0" m="1" x="844"/>
        <item sd="0" m="1" x="124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2"/>
        <item m="1" x="315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6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1"/>
        <item m="1" x="655"/>
        <item sd="0" m="1" x="722"/>
        <item m="1" x="642"/>
        <item m="1" x="231"/>
        <item m="1" x="373"/>
        <item m="1" x="736"/>
        <item sd="0" m="1" x="133"/>
        <item m="1" x="87"/>
        <item m="1" x="210"/>
        <item m="1" x="682"/>
        <item m="1" x="275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2"/>
        <item m="1" x="300"/>
        <item m="1" x="820"/>
        <item m="1" x="170"/>
        <item m="1" x="710"/>
        <item m="1" x="172"/>
        <item m="1" x="587"/>
        <item x="0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4"/>
        <item m="1" x="336"/>
        <item m="1" x="524"/>
        <item m="1" x="247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6"/>
        <item m="1" x="503"/>
        <item m="1" x="787"/>
        <item m="1" x="259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1"/>
        <item m="1" x="334"/>
        <item m="1" x="818"/>
        <item sd="0" m="1" x="611"/>
        <item m="1" x="588"/>
        <item sd="0" m="1" x="256"/>
        <item m="1" x="551"/>
        <item m="1" x="105"/>
        <item m="1" x="88"/>
        <item m="1" x="755"/>
        <item m="1" x="156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x="1"/>
        <item m="1" x="357"/>
        <item m="1" x="14"/>
        <item m="1" x="226"/>
        <item m="1" x="784"/>
        <item m="1" x="725"/>
        <item m="1" x="842"/>
        <item m="1" x="444"/>
        <item m="1" x="194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3"/>
        <item m="1" x="190"/>
        <item m="1" x="681"/>
        <item sd="0" m="1" x="283"/>
        <item m="1" x="220"/>
        <item m="1" x="319"/>
        <item m="1" x="255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0"/>
        <item sd="0" m="1" x="200"/>
        <item m="1" x="206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299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6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79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3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510"/>
    </i>
    <i r="1">
      <x v="7998"/>
    </i>
    <i>
      <x v="670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0"/>
        <item m="1" x="110"/>
        <item m="1" x="622"/>
        <item m="1" x="142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2"/>
        <item m="1" x="137"/>
        <item m="1" x="294"/>
        <item m="1" x="602"/>
        <item m="1" x="207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7"/>
        <item sd="0" m="1" x="307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7"/>
        <item sd="0" m="1" x="204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5"/>
        <item m="1" x="304"/>
        <item m="1" x="175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1"/>
        <item m="1" x="224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4"/>
        <item sd="0" m="1" x="124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2"/>
        <item m="1" x="315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6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1"/>
        <item m="1" x="655"/>
        <item sd="0" m="1" x="722"/>
        <item m="1" x="642"/>
        <item m="1" x="231"/>
        <item m="1" x="373"/>
        <item m="1" x="736"/>
        <item sd="0" m="1" x="133"/>
        <item m="1" x="87"/>
        <item m="1" x="210"/>
        <item m="1" x="682"/>
        <item m="1" x="275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2"/>
        <item m="1" x="300"/>
        <item m="1" x="820"/>
        <item m="1" x="170"/>
        <item m="1" x="710"/>
        <item m="1" x="172"/>
        <item m="1" x="587"/>
        <item x="0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4"/>
        <item m="1" x="336"/>
        <item m="1" x="524"/>
        <item m="1" x="247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6"/>
        <item m="1" x="503"/>
        <item m="1" x="787"/>
        <item m="1" x="259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1"/>
        <item m="1" x="334"/>
        <item m="1" x="818"/>
        <item sd="0" m="1" x="611"/>
        <item m="1" x="588"/>
        <item sd="0" m="1" x="256"/>
        <item m="1" x="551"/>
        <item m="1" x="105"/>
        <item m="1" x="88"/>
        <item m="1" x="755"/>
        <item m="1" x="156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x="1"/>
        <item m="1" x="357"/>
        <item m="1" x="14"/>
        <item m="1" x="226"/>
        <item m="1" x="784"/>
        <item m="1" x="725"/>
        <item m="1" x="842"/>
        <item m="1" x="444"/>
        <item m="1" x="194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3"/>
        <item m="1" x="190"/>
        <item m="1" x="681"/>
        <item sd="0" m="1" x="283"/>
        <item m="1" x="220"/>
        <item m="1" x="319"/>
        <item m="1" x="255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0"/>
        <item sd="0" m="1" x="200"/>
        <item m="1" x="206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299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6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79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3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10"/>
    </i>
    <i>
      <x v="670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3" s="1" nd="1"/>
        <i x="12" s="1" nd="1"/>
        <i x="762" s="1" nd="1"/>
        <i x="392" s="1" nd="1"/>
        <i x="713" s="1" nd="1"/>
        <i x="296" s="1" nd="1"/>
        <i x="114" s="1" nd="1"/>
        <i x="271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0" s="1" nd="1"/>
        <i x="110" s="1" nd="1"/>
        <i x="622" s="1" nd="1"/>
        <i x="142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6" s="1" nd="1"/>
        <i x="687" s="1" nd="1"/>
        <i x="312" s="1" nd="1"/>
        <i x="137" s="1" nd="1"/>
        <i x="294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4" s="1" nd="1"/>
        <i x="836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1" s="1" nd="1"/>
        <i x="629" s="1" nd="1"/>
        <i x="737" s="1" nd="1"/>
        <i x="421" s="1" nd="1"/>
        <i x="81" s="1" nd="1"/>
        <i x="697" s="1" nd="1"/>
        <i x="284" s="1" nd="1"/>
        <i x="847" s="1" nd="1"/>
        <i x="248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7" s="1" nd="1"/>
        <i x="307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7" s="1" nd="1"/>
        <i x="204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5" s="1" nd="1"/>
        <i x="304" s="1" nd="1"/>
        <i x="175" s="1" nd="1"/>
        <i x="102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6" s="1" nd="1"/>
        <i x="333" s="1" nd="1"/>
        <i x="221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1" s="1" nd="1"/>
        <i x="439" s="1" nd="1"/>
        <i x="103" s="1" nd="1"/>
        <i x="197" s="1" nd="1"/>
        <i x="832" s="1" nd="1"/>
        <i x="765" s="1" nd="1"/>
        <i x="509" s="1" nd="1"/>
        <i x="822" s="1" nd="1"/>
        <i x="341" s="1" nd="1"/>
        <i x="224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4" s="1" nd="1"/>
        <i x="124" s="1" nd="1"/>
        <i x="267" s="1" nd="1"/>
        <i x="292" s="1" nd="1"/>
        <i x="354" s="1" nd="1"/>
        <i x="99" s="1" nd="1"/>
        <i x="460" s="1" nd="1"/>
        <i x="581" s="1" nd="1"/>
        <i x="353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4" s="1" nd="1"/>
        <i x="667" s="1" nd="1"/>
        <i x="840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2" s="1" nd="1"/>
        <i x="315" s="1" nd="1"/>
        <i x="699" s="1" nd="1"/>
        <i x="331" s="1" nd="1"/>
        <i x="626" s="1" nd="1"/>
        <i x="542" s="1" nd="1"/>
        <i x="369" s="1" nd="1"/>
        <i x="335" s="1" nd="1"/>
        <i x="176" s="1" nd="1"/>
        <i x="420" s="1" nd="1"/>
        <i x="702" s="1" nd="1"/>
        <i x="698" s="1" nd="1"/>
        <i x="379" s="1" nd="1"/>
        <i x="348" s="1" nd="1"/>
        <i x="151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8" s="1" nd="1"/>
        <i x="683" s="1" nd="1"/>
        <i x="136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6" s="1" nd="1"/>
        <i x="131" s="1" nd="1"/>
        <i x="655" s="1" nd="1"/>
        <i x="722" s="1" nd="1"/>
        <i x="642" s="1" nd="1"/>
        <i x="231" s="1" nd="1"/>
        <i x="373" s="1" nd="1"/>
        <i x="736" s="1" nd="1"/>
        <i x="133" s="1" nd="1"/>
        <i x="87" s="1" nd="1"/>
        <i x="210" s="1" nd="1"/>
        <i x="682" s="1" nd="1"/>
        <i x="275" s="1" nd="1"/>
        <i x="472" s="1" nd="1"/>
        <i x="800" s="1" nd="1"/>
        <i x="218" s="1" nd="1"/>
        <i x="828" s="1" nd="1"/>
        <i x="70" s="1" nd="1"/>
        <i x="119" s="1" nd="1"/>
        <i x="646" s="1" nd="1"/>
        <i x="411" s="1" nd="1"/>
        <i x="855" s="1" nd="1"/>
        <i x="432" s="1" nd="1"/>
        <i x="570" s="1" nd="1"/>
        <i x="488" s="1" nd="1"/>
        <i x="183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9" s="1" nd="1"/>
        <i x="660" s="1" nd="1"/>
        <i x="222" s="1" nd="1"/>
        <i x="449" s="1" nd="1"/>
        <i x="148" s="1" nd="1"/>
        <i x="362" s="1" nd="1"/>
        <i x="263" s="1" nd="1"/>
        <i x="291" s="1" nd="1"/>
        <i x="541" s="1" nd="1"/>
        <i x="811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7" s="1" nd="1"/>
        <i x="134" s="1" nd="1"/>
        <i x="252" s="1" nd="1"/>
        <i x="300" s="1" nd="1"/>
        <i x="820" s="1" nd="1"/>
        <i x="170" s="1" nd="1"/>
        <i x="710" s="1" nd="1"/>
        <i x="172" s="1" nd="1"/>
        <i x="587" s="1" nd="1"/>
        <i x="391" s="1" nd="1"/>
        <i x="658" s="1" nd="1"/>
        <i x="310" s="1" nd="1"/>
        <i x="75" s="1" nd="1"/>
        <i x="670" s="1" nd="1"/>
        <i x="95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9" s="1" nd="1"/>
        <i x="332" s="1" nd="1"/>
        <i x="565" s="1" nd="1"/>
        <i x="504" s="1" nd="1"/>
        <i x="228" s="1" nd="1"/>
        <i x="281" s="1" nd="1"/>
        <i x="94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4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5" s="1" nd="1"/>
        <i x="824" s="1" nd="1"/>
        <i x="336" s="1" nd="1"/>
        <i x="524" s="1" nd="1"/>
        <i x="247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5" s="1" nd="1"/>
        <i x="359" s="1" nd="1"/>
        <i x="260" s="1" nd="1"/>
        <i x="364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6" s="1" nd="1"/>
        <i x="503" s="1" nd="1"/>
        <i x="787" s="1" nd="1"/>
        <i x="259" s="1" nd="1"/>
        <i x="753" s="1" nd="1"/>
        <i x="129" s="1" nd="1"/>
        <i x="212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1" s="1" nd="1"/>
        <i x="334" s="1" nd="1"/>
        <i x="818" s="1" nd="1"/>
        <i x="611" s="1" nd="1"/>
        <i x="588" s="1" nd="1"/>
        <i x="256" s="1" nd="1"/>
        <i x="551" s="1" nd="1"/>
        <i x="105" s="1" nd="1"/>
        <i x="88" s="1" nd="1"/>
        <i x="755" s="1" nd="1"/>
        <i x="156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6" s="1" nd="1"/>
        <i x="784" s="1" nd="1"/>
        <i x="725" s="1" nd="1"/>
        <i x="842" s="1" nd="1"/>
        <i x="444" s="1" nd="1"/>
        <i x="194" s="1" nd="1"/>
        <i x="306" s="1" nd="1"/>
        <i x="340" s="1" nd="1"/>
        <i x="97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6" s="1" nd="1"/>
        <i x="409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0" s="1" nd="1"/>
        <i x="693" s="1" nd="1"/>
        <i x="442" s="1" nd="1"/>
        <i x="361" s="1" nd="1"/>
        <i x="706" s="1" nd="1"/>
        <i x="303" s="1" nd="1"/>
        <i x="190" s="1" nd="1"/>
        <i x="681" s="1" nd="1"/>
        <i x="283" s="1" nd="1"/>
        <i x="220" s="1" nd="1"/>
        <i x="319" s="1" nd="1"/>
        <i x="255" s="1" nd="1"/>
        <i x="193" s="1" nd="1"/>
        <i x="730" s="1" nd="1"/>
        <i x="385" s="1" nd="1"/>
        <i x="577" s="1" nd="1"/>
        <i x="360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6" s="1" nd="1"/>
        <i x="120" s="1" nd="1"/>
        <i x="290" s="1" nd="1"/>
        <i x="200" s="1" nd="1"/>
        <i x="206" s="1" nd="1"/>
        <i x="90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299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3" s="1" nd="1"/>
        <i x="196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5" s="1" nd="1"/>
        <i x="36" s="1" nd="1"/>
        <i x="311" s="1" nd="1"/>
        <i x="826" s="1" nd="1"/>
        <i x="563" s="1" nd="1"/>
        <i x="63" s="1" nd="1"/>
        <i x="569" s="1" nd="1"/>
        <i x="431" s="1" nd="1"/>
        <i x="426" s="1" nd="1"/>
        <i x="177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79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3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2" totalsRowShown="0" headerRowDxfId="92" dataDxfId="90" headerRowBorderDxfId="91" tableBorderDxfId="89" totalsRowBorderDxfId="88">
  <autoFilter ref="A1:D37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300621</v>
      </c>
      <c r="B2" s="12" t="s">
        <v>584</v>
      </c>
      <c r="C2" s="14">
        <v>46276</v>
      </c>
      <c r="D2" s="14">
        <v>46276</v>
      </c>
      <c r="E2" s="12"/>
      <c r="F2" s="15" t="s">
        <v>585</v>
      </c>
      <c r="G2" s="15" t="s">
        <v>586</v>
      </c>
      <c r="H2" s="15" t="s">
        <v>587</v>
      </c>
      <c r="I2" s="16">
        <v>31.02</v>
      </c>
      <c r="J2" s="15" t="s">
        <v>588</v>
      </c>
      <c r="K2" s="15" t="s">
        <v>589</v>
      </c>
      <c r="L2" s="15" t="s">
        <v>590</v>
      </c>
      <c r="M2" s="15">
        <v>79.56</v>
      </c>
      <c r="N2" s="15">
        <v>1</v>
      </c>
      <c r="O2" s="16">
        <v>2.34</v>
      </c>
      <c r="P2" s="15" t="s">
        <v>584</v>
      </c>
      <c r="Q2" s="15">
        <v>0</v>
      </c>
      <c r="R2" s="15" t="s">
        <v>591</v>
      </c>
      <c r="S2" s="15">
        <v>40</v>
      </c>
      <c r="T2" s="15" t="s">
        <v>592</v>
      </c>
      <c r="U2" s="15">
        <v>0</v>
      </c>
      <c r="V2" s="15">
        <v>9.5500000000000007</v>
      </c>
      <c r="W2" s="15">
        <v>0</v>
      </c>
      <c r="X2" s="15">
        <v>0</v>
      </c>
      <c r="Y2" s="15">
        <v>0.02</v>
      </c>
      <c r="Z2" s="15">
        <v>0</v>
      </c>
      <c r="AA2" s="15">
        <v>55.87</v>
      </c>
      <c r="AB2" s="15">
        <v>23.69</v>
      </c>
      <c r="AC2" s="15">
        <v>20.69</v>
      </c>
      <c r="AD2" s="15">
        <v>3</v>
      </c>
      <c r="AE2" s="15">
        <v>2.1</v>
      </c>
      <c r="AF2" s="15">
        <v>0.9</v>
      </c>
      <c r="AG2" s="17">
        <v>1.1299999999999999E-2</v>
      </c>
      <c r="AH2" s="15"/>
    </row>
    <row r="3" spans="1:34" s="1" customFormat="1" ht="12" customHeight="1" x14ac:dyDescent="0.3">
      <c r="A3" s="13">
        <v>301129</v>
      </c>
      <c r="B3" s="12" t="s">
        <v>584</v>
      </c>
      <c r="C3" s="14">
        <v>46280</v>
      </c>
      <c r="D3" s="14">
        <v>46280</v>
      </c>
      <c r="E3" s="12"/>
      <c r="F3" s="15" t="s">
        <v>593</v>
      </c>
      <c r="G3" s="15" t="s">
        <v>594</v>
      </c>
      <c r="H3" s="15" t="s">
        <v>595</v>
      </c>
      <c r="I3" s="16">
        <v>56760.51</v>
      </c>
      <c r="J3" s="15" t="s">
        <v>596</v>
      </c>
      <c r="K3" s="15" t="s">
        <v>589</v>
      </c>
      <c r="L3" s="15" t="s">
        <v>597</v>
      </c>
      <c r="M3" s="16">
        <v>5200</v>
      </c>
      <c r="N3" s="15">
        <v>250</v>
      </c>
      <c r="O3" s="16">
        <v>926.44</v>
      </c>
      <c r="P3" s="15" t="s">
        <v>598</v>
      </c>
      <c r="Q3" s="15">
        <v>0</v>
      </c>
      <c r="R3" s="15" t="s">
        <v>598</v>
      </c>
      <c r="S3" s="15">
        <v>0</v>
      </c>
      <c r="T3" s="15" t="s">
        <v>592</v>
      </c>
      <c r="U3" s="15">
        <v>0</v>
      </c>
      <c r="V3" s="15">
        <v>624</v>
      </c>
      <c r="W3" s="15">
        <v>0</v>
      </c>
      <c r="X3" s="15">
        <v>0</v>
      </c>
      <c r="Y3" s="15">
        <v>28.38</v>
      </c>
      <c r="Z3" s="15">
        <v>0</v>
      </c>
      <c r="AA3" s="16">
        <v>3146.08</v>
      </c>
      <c r="AB3" s="16">
        <v>2053.92</v>
      </c>
      <c r="AC3" s="15">
        <v>1352</v>
      </c>
      <c r="AD3" s="15">
        <v>701.92</v>
      </c>
      <c r="AE3" s="15">
        <v>137.28</v>
      </c>
      <c r="AF3" s="15">
        <v>564.64</v>
      </c>
      <c r="AG3" s="17">
        <v>0.10859999999999999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5279.56</v>
      </c>
      <c r="F3" s="89"/>
      <c r="G3" s="90"/>
      <c r="H3" s="133">
        <f>'Resumo Detalhado'!C2</f>
        <v>928.78000000000009</v>
      </c>
      <c r="I3" s="134"/>
      <c r="J3" s="135">
        <f>E3/H3</f>
        <v>5.6844031955899137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8.4434545454545457E-2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2500</v>
      </c>
      <c r="F7" s="112"/>
      <c r="G7" s="112"/>
      <c r="H7" s="112"/>
      <c r="I7" s="112"/>
      <c r="J7" s="112">
        <f>E7/H3</f>
        <v>2.6917030943818769</v>
      </c>
      <c r="K7" s="112"/>
      <c r="L7" s="112"/>
      <c r="M7" s="130">
        <f>E7/E3</f>
        <v>0.47352430884391877</v>
      </c>
      <c r="N7" s="130"/>
      <c r="O7" s="130"/>
      <c r="P7" s="112">
        <f>E11+K11+Q11+E15+K15+Q15+E19+H19+K19</f>
        <v>4429.0444000000007</v>
      </c>
      <c r="Q7" s="112"/>
      <c r="R7" s="112"/>
      <c r="S7" s="112">
        <f>P7/H3</f>
        <v>4.7686690066538899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2500</v>
      </c>
      <c r="L11" s="90"/>
      <c r="M11" s="38"/>
      <c r="N11" s="88">
        <f>K11/H3</f>
        <v>2.6917030943818769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633.54999999999995</v>
      </c>
      <c r="F15" s="119"/>
      <c r="G15" s="119"/>
      <c r="H15" s="119"/>
      <c r="I15" s="132"/>
      <c r="J15" s="38"/>
      <c r="K15" s="113">
        <f>'Resumo Detalhado'!K2+'Resumo Detalhado'!L2</f>
        <v>844.7296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28.4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422.3648</v>
      </c>
      <c r="L19" s="123"/>
      <c r="M19" s="38"/>
      <c r="N19" s="121" t="s">
        <v>582</v>
      </c>
      <c r="O19" s="119"/>
      <c r="P19" s="119"/>
      <c r="Q19" s="119"/>
      <c r="R19" s="120"/>
      <c r="S19" s="121">
        <f>_xlfn.XLOOKUP(N19,Target!C:C,Target!D:D)</f>
        <v>2500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4015.8651999999997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0.76064391729613823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599</v>
      </c>
      <c r="F1" s="29"/>
    </row>
    <row r="2" spans="1:18" x14ac:dyDescent="0.3">
      <c r="B2" s="29">
        <f>SUM(B6:B5000)</f>
        <v>5279.56</v>
      </c>
      <c r="C2" s="29">
        <f>SUM(C6:C5000)</f>
        <v>928.78000000000009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633.54999999999995</v>
      </c>
      <c r="I2" s="29">
        <f t="shared" si="0"/>
        <v>28.4</v>
      </c>
      <c r="J2" s="29">
        <f t="shared" si="0"/>
        <v>0</v>
      </c>
      <c r="K2" s="29">
        <f t="shared" si="0"/>
        <v>422.3648</v>
      </c>
      <c r="L2" s="29">
        <f t="shared" si="0"/>
        <v>422.3648</v>
      </c>
      <c r="M2" s="29">
        <f t="shared" si="0"/>
        <v>139.38</v>
      </c>
      <c r="N2" s="29">
        <f t="shared" si="0"/>
        <v>4015.8651999999997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300621</v>
      </c>
      <c r="B6" s="139">
        <v>79.56</v>
      </c>
      <c r="C6" s="140">
        <v>2.34</v>
      </c>
      <c r="D6" s="139">
        <v>0</v>
      </c>
      <c r="E6" s="139">
        <v>40</v>
      </c>
      <c r="F6" s="139">
        <v>0</v>
      </c>
      <c r="G6" s="141">
        <v>0.50276520864756158</v>
      </c>
      <c r="H6" s="139">
        <v>9.5500000000000007</v>
      </c>
      <c r="I6" s="139">
        <v>0.02</v>
      </c>
      <c r="J6" s="139">
        <v>0</v>
      </c>
      <c r="K6" s="139">
        <v>6.3648000000000007</v>
      </c>
      <c r="L6" s="139">
        <v>6.3648000000000007</v>
      </c>
      <c r="M6" s="139">
        <v>2.1</v>
      </c>
      <c r="N6" s="139">
        <v>21.525199999999998</v>
      </c>
      <c r="O6" s="141">
        <v>0.27055304172951228</v>
      </c>
      <c r="Q6"/>
    </row>
    <row r="7" spans="1:18" s="31" customFormat="1" x14ac:dyDescent="0.3">
      <c r="A7" s="9" t="s">
        <v>594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301129</v>
      </c>
      <c r="B8" s="139">
        <v>5200</v>
      </c>
      <c r="C8" s="140">
        <v>926.44</v>
      </c>
      <c r="D8" s="139">
        <v>0</v>
      </c>
      <c r="E8" s="139">
        <v>0</v>
      </c>
      <c r="F8" s="139">
        <v>0</v>
      </c>
      <c r="G8" s="141">
        <v>0</v>
      </c>
      <c r="H8" s="139">
        <v>624</v>
      </c>
      <c r="I8" s="139">
        <v>28.38</v>
      </c>
      <c r="J8" s="139">
        <v>0</v>
      </c>
      <c r="K8" s="139">
        <v>416</v>
      </c>
      <c r="L8" s="139">
        <v>416</v>
      </c>
      <c r="M8" s="139">
        <v>137.28</v>
      </c>
      <c r="N8" s="139">
        <v>3994.3399999999997</v>
      </c>
      <c r="O8" s="141">
        <v>0.76814230769230762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599</v>
      </c>
    </row>
    <row r="2" spans="1:4" x14ac:dyDescent="0.3">
      <c r="B2" s="29">
        <f>SUM(B6:B5000)</f>
        <v>5200</v>
      </c>
      <c r="C2" s="29">
        <f>SUM(C6:C5000)</f>
        <v>3994.3399999999997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586</v>
      </c>
      <c r="B5" s="10">
        <v>79.56</v>
      </c>
      <c r="C5" s="10">
        <v>21.525199999999998</v>
      </c>
    </row>
    <row r="6" spans="1:4" x14ac:dyDescent="0.3">
      <c r="A6" s="9" t="s">
        <v>594</v>
      </c>
      <c r="B6" s="139">
        <v>5200</v>
      </c>
      <c r="C6" s="139">
        <v>3994.3399999999997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2026-09-18T14:01:38Z</dcterms:modified>
  <cp:category/>
  <cp:contentStatus/>
</cp:coreProperties>
</file>