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3A8C8288-0D07-4430-AAFC-7383981018A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<sst xmlns="http://schemas.openxmlformats.org/spreadsheetml/2006/main" count="857" uniqueCount="590">
  <si>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</si>
  <si>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</si>
  <si>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</si>
  <si>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</si>
  <si>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</si>
  <si>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</si>
  <si>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</si>
  <si>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</si>
  <si>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</si>
  <si>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</si>
  <si>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</si>
  <si>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</si>
  <si>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</si>
  <si>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</si>
  <si>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</si>
  <si>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</si>
  <si>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</si>
  <si>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</si>
  <si>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</si>
  <si>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</si>
  <si>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</si>
  <si>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</si>
  <si>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</si>
  <si>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</si>
  <si>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</si>
  <si>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</si>
  <si>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</si>
  <si>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</si>
  <si>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</si>
  <si>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</si>
  <si>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</si>
  <si>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</si>
  <si>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</si>
  <si>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</si>
  <si>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</si>
  <si>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</si>
  <si>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</si>
  <si>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</si>
  <si>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</si>
  <si>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</si>
  <si>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</si>
  <si>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</si>
  <si>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</si>
  <si>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</si>
  <si>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</si>
  <si>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</si>
  <si>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</si>
  <si>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</si>
  <si>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</si>
  <si>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</si>
  <si>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</si>
  <si>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</si>
  <si>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</si>
  <si>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</si>
  <si>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</si>
  <si>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</si>
  <si>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</si>
  <si>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</si>
  <si>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</si>
  <si>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</si>
  <si>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</si>
  <si>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</si>
  <si>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</si>
  <si>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</si>
  <si>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</si>
  <si>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</si>
  <si>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</si>
  <si>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</si>
  <si>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</si>
  <si>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</si>
  <si>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</si>
  <si>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</si>
  <si>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</si>
  <si>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</si>
  <si>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</si>
  <si>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</si>
  <si>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</si>
  <si>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</si>
  <si>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</si>
  <si>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</si>
  <si>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</si>
  <si>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</si>
  <si>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</si>
  <si>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</si>
  <si>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</si>
  <si>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</si>
  <si>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</si>
  <si>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</si>
  <si>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</si>
  <si>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</si>
  <si>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</si>
  <si>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</si>
  <si>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</si>
  <si>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</si>
  <si>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</si>
  <si>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</si>
  <si>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</si>
  <si>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</si>
  <si>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</si>
  <si>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</si>
  <si>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</si>
  <si>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</si>
  <si>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</si>
  <si>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</si>
  <si>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</si>
  <si>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</si>
  <si>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</si>
  <si>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</si>
  <si>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</si>
  <si>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</si>
  <si>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</si>
  <si>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</si>
  <si>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</si>
  <si>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</si>
  <si>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</si>
  <si>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</si>
  <si>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</si>
  <si>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</si>
  <si>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</si>
  <si>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</si>
  <si>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</si>
  <si>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</si>
  <si>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</si>
  <si>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</si>
  <si>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</si>
  <si>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</si>
  <si>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</si>
  <si>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</si>
  <si>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</si>
  <si>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</si>
  <si>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</si>
  <si>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</si>
  <si>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</si>
  <si>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</si>
  <si>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</si>
  <si>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</si>
  <si>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</si>
  <si>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</si>
  <si>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</si>
  <si>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</si>
  <si>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</si>
  <si>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</si>
  <si>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</si>
  <si>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</si>
  <si>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</si>
  <si>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</si>
  <si>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</si>
  <si>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</si>
  <si>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</si>
  <si>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</si>
  <si>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</si>
  <si>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</si>
  <si>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</si>
  <si>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</si>
  <si>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</si>
  <si>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</si>
  <si>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</si>
  <si>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</si>
  <si>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</si>
  <si>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</si>
  <si>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</si>
  <si>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</si>
  <si>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</si>
  <si>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</si>
  <si>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</si>
  <si>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</si>
  <si>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</si>
  <si>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</si>
  <si>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</si>
  <si>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</si>
  <si>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</si>
  <si>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</si>
  <si>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</si>
  <si>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</si>
  <si>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</si>
  <si>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</si>
  <si>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</si>
  <si>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</si>
  <si>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</si>
  <si>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</si>
  <si>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</si>
  <si>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</si>
  <si>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</si>
  <si>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</si>
  <si>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</si>
  <si>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</si>
  <si>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</si>
  <si>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</si>
  <si>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</si>
  <si>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</si>
  <si>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</si>
  <si>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</si>
  <si>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</si>
  <si>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</si>
  <si>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</si>
  <si>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</si>
  <si>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</si>
  <si>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</si>
  <si>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</si>
  <si>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</si>
  <si>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</si>
  <si>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</si>
  <si>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</si>
  <si>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</si>
  <si>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</si>
  <si>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</si>
  <si>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</si>
  <si>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</si>
  <si>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</si>
  <si>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</si>
  <si>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</si>
  <si>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</si>
  <si>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</si>
  <si>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</si>
  <si>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</si>
  <si>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</si>
  <si>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</si>
  <si>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</si>
  <si>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</si>
  <si>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</si>
  <si>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</si>
  <si>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</si>
  <si>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</si>
  <si>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</si>
  <si>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</si>
  <si>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</si>
  <si>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</si>
  <si>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</si>
  <si>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</si>
  <si>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</si>
  <si>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</si>
  <si>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</si>
  <si>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</si>
  <si>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</si>
  <si>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</si>
  <si>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</si>
  <si>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</si>
  <si>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</si>
  <si>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</si>
  <si>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</si>
  <si>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</si>
  <si>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</si>
  <si>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</si>
  <si>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</si>
  <si>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</si>
  <si>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</si>
  <si>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</si>
  <si>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</si>
  <si>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</si>
  <si>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</si>
  <si>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</si>
  <si>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</si>
  <si>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</si>
  <si>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</si>
  <si>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</si>
  <si>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</si>
  <si>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</si>
  <si>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</si>
  <si>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</si>
  <si>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</si>
  <si>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</si>
  <si>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</si>
  <si>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</si>
  <si>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</si>
  <si>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</si>
  <si>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</si>
  <si>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</si>
  <si>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</si>
  <si>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</si>
  <si>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</si>
  <si>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</si>
  <si>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</si>
  <si>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</si>
  <si>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</si>
  <si>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</si>
  <si>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</si>
  <si>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</si>
  <si>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</si>
  <si>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</si>
  <si>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</si>
  <si>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</si>
  <si>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</si>
  <si>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</si>
  <si>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</si>
  <si>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</si>
  <si>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</si>
  <si>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</si>
  <si>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</si>
  <si>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</si>
  <si>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</si>
  <si>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</si>
  <si>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</si>
  <si>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</si>
  <si>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</si>
  <si>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</si>
  <si>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</si>
  <si>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</si>
  <si>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</si>
  <si>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</si>
  <si>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</si>
  <si>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</si>
  <si>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</si>
  <si>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</si>
  <si>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</si>
  <si>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</si>
  <si>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</si>
  <si>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</si>
  <si>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</si>
  <si>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</si>
  <si>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</si>
  <si>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</si>
  <si>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</si>
  <si>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</si>
  <si>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</si>
  <si>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</si>
  <si>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</si>
  <si>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</si>
  <si>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</si>
  <si>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</si>
  <si>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</si>
  <si>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</si>
  <si>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</si>
  <si>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</si>
  <si>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</si>
  <si>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</si>
  <si>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</si>
  <si>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</si>
  <si>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</si>
  <si>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</si>
  <si>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</si>
  <si>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</si>
  <si>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</si>
  <si>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</si>
  <si>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</si>
  <si>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</si>
  <si>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</si>
  <si>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</si>
  <si>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</si>
  <si>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</si>
  <si>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</si>
  <si>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</si>
  <si>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</si>
  <si>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</si>
  <si>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</si>
  <si>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</si>
  <si>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</si>
  <si>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</si>
  <si>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</si>
  <si>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</si>
  <si>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</si>
  <si>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</si>
  <si>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</si>
  <si>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</si>
  <si>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</si>
  <si>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</si>
  <si>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</si>
  <si>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</si>
  <si>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</si>
  <si>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</si>
  <si>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</si>
  <si>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</si>
  <si>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</si>
  <si>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</si>
  <si>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</si>
  <si>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</si>
  <si>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</si>
  <si>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</si>
  <si>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</si>
  <si>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</si>
  <si>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</si>
  <si>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</si>
  <si>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</si>
  <si>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</si>
  <si>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</si>
  <si>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</si>
  <si>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</si>
  <si>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</si>
  <si>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</si>
  <si>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</si>
  <si>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</si>
  <si>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</si>
  <si>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</si>
  <si>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</si>
  <si>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</si>
  <si>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</si>
  <si>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</si>
  <si>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</si>
  <si>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</si>
  <si>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</si>
  <si>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</si>
  <si>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</si>
  <si>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</si>
  <si>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</si>
  <si>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</si>
  <si>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</si>
  <si>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</si>
  <si>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</si>
  <si>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</si>
  <si>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</si>
  <si>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</si>
  <si>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</si>
  <si>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</si>
  <si>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</si>
  <si>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</si>
  <si>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</si>
  <si>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</si>
  <si>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</si>
  <si>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</si>
  <si>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</si>
  <si>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</si>
  <si>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</si>
  <si>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</si>
  <si>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</si>
  <si>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</si>
  <si>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</si>
  <si>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</si>
  <si>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</si>
  <si>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</si>
  <si>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</si>
  <si>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</si>
  <si>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</si>
  <si>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</si>
  <si>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</si>
  <si>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</si>
  <si>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</si>
  <si>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</si>
  <si>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</si>
  <si>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</si>
  <si>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</si>
  <si>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</si>
  <si>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</si>
  <si>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</si>
  <si>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</si>
  <si>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</si>
  <si>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</si>
  <si>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</si>
  <si>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</si>
  <si>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</si>
  <si>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</si>
  <si>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</si>
  <si>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</si>
  <si>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</si>
  <si>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</si>
  <si>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</si>
  <si>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</si>
  <si>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</si>
  <si>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</si>
  <si>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</si>
  <si>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</si>
  <si>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</si>
  <si>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</si>
  <si>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</si>
  <si>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</si>
  <si>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</si>
  <si>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</si>
  <si>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</si>
  <si>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</si>
  <si>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</si>
  <si>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</si>
  <si>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</si>
  <si>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</si>
  <si>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</si>
  <si>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</si>
  <si>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</si>
  <si>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</si>
  <si>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</si>
  <si>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</si>
  <si>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</si>
  <si>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</si>
  <si>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</si>
  <si>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</si>
  <si>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</si>
  <si>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</si>
  <si>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</si>
  <si>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</si>
  <si>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</si>
  <si>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</si>
  <si>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</si>
  <si>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</si>
  <si>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</si>
  <si>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</si>
  <si>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</si>
  <si>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</si>
  <si>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</si>
  <si>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</si>
  <si>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</si>
  <si>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</si>
  <si>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</si>
  <si>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</si>
  <si>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</si>
  <si>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</si>
  <si>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</si>
  <si>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</si>
  <si>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</si>
  <si>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</si>
  <si>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</si>
  <si>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</si>
  <si>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</si>
  <si>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</si>
  <si>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</si>
  <si>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</si>
  <si>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</si>
  <si>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</si>
  <si>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</si>
  <si>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</si>
  <si>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</si>
  <si>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</si>
  <si>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</si>
  <si>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</si>
  <si>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</si>
  <si>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</si>
  <si>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</si>
  <si>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</si>
  <si>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</si>
  <si>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</si>
  <si>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</si>
  <si>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</si>
  <si>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</si>
  <si>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</si>
  <si>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</si>
  <si>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</si>
  <si>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</si>
  <si>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</si>
  <si>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</si>
  <si>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</si>
  <si>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</si>
  <si>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</si>
  <si>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</si>
  <si>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</si>
  <si>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</si>
  <si>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</si>
  <si>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</si>
  <si>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</si>
  <si>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</si>
  <si>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</si>
  <si>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</si>
  <si>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</si>
  <si>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</si>
  <si>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</si>
  <si>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</si>
  <si>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</si>
  <si>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</si>
  <si>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</si>
  <si>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</si>
  <si>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</si>
  <si>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</si>
  <si>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</si>
  <si>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</si>
  <si>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</si>
  <si>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</si>
  <si>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</si>
  <si>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</si>
  <si>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</si>
  <si>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</si>
  <si>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</si>
  <si>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</si>
  <si>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</si>
  <si>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</si>
  <si>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</si>
  <si>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</si>
  <si>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</si>
  <si>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</si>
  <si>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</si>
  <si>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</si>
  <si>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</si>
  <si>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</si>
  <si>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</si>
  <si>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</si>
  <si>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</si>
  <si>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</si>
  <si>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</si>
  <si>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</si>
  <si>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</si>
  <si>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</si>
  <si>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</si>
  <si>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</si>
  <si>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</si>
  <si>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</si>
  <si>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</si>
  <si>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</si>
  <si>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2561-1</t>
  </si>
  <si>
    <t>AC COMERCIAL IM</t>
  </si>
  <si>
    <t>TIAGO SANTANA</t>
  </si>
  <si>
    <t>PERSONALIZADO_L</t>
  </si>
  <si>
    <t>CTE NORMAL</t>
  </si>
  <si>
    <t>EMBU - SP</t>
  </si>
  <si>
    <t>UILIAN PRAZITO RODRIGUES</t>
  </si>
  <si>
    <t>INDEFINIDO</t>
  </si>
  <si>
    <t>Navegantes-Sc X Embu Das Artes-Sp3/4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</si>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</sst>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[Analise_VINICIUS_21082026.xlsx]Resumo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7774.81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1459.3804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[Analise_VINICIUS_21082026.xlsx]Resumo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7774.81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AC COMERCIAL IM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1459.3804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0.41840115741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64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1T00:00:00" maxDate="2026-08-22T00:00:00"/>
    </cacheField>
    <cacheField name="DATA" numFmtId="14">
      <sharedItems containsNonDate="0" containsDate="1" containsString="0" containsBlank="1" minDate="2026-08-21T00:00:00" maxDate="2026-08-2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175156.9500000002" maxValue="2175156.9500000002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774.81" maxValue="7774.81"/>
    </cacheField>
    <cacheField name="VOLUMES" numFmtId="0">
      <sharedItems containsString="0" containsBlank="1" containsNumber="1" containsInteger="1" minValue="933" maxValue="933"/>
    </cacheField>
    <cacheField name="PESO" numFmtId="0">
      <sharedItems containsString="0" containsBlank="1" containsNumber="1" minValue="3820.2" maxValue="3820.2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3200" maxValue="32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932.98" maxValue="932.9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870.06" maxValue="870.0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5003.04" maxValue="5003.04"/>
    </cacheField>
    <cacheField name="RECEITA" numFmtId="0">
      <sharedItems containsString="0" containsBlank="1" containsNumber="1" minValue="2771.77" maxValue="2771.77"/>
    </cacheField>
    <cacheField name="IMPOSTO" numFmtId="0">
      <sharedItems containsString="0" containsBlank="1" containsNumber="1" minValue="1243.97" maxValue="1243.97"/>
    </cacheField>
    <cacheField name="RESULTADO" numFmtId="0">
      <sharedItems containsString="0" containsBlank="1" containsNumber="1" minValue="1527.8000000000002" maxValue="1527.8000000000002"/>
    </cacheField>
    <cacheField name="COMIS" numFmtId="0">
      <sharedItems containsString="0" containsBlank="1" containsNumber="1" minValue="68.42" maxValue="68.42"/>
    </cacheField>
    <cacheField name="LUCRO LIQ" numFmtId="0">
      <sharedItems containsString="0" containsBlank="1" containsNumber="1" minValue="1459.38" maxValue="1459.38"/>
    </cacheField>
    <cacheField name="MARGEM" numFmtId="10">
      <sharedItems containsString="0" containsBlank="1" containsNumber="1" minValue="0.18770000000000001" maxValue="0.1877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21T00:00:00"/>
    <d v="2026-08-21T00:00:00"/>
    <m/>
    <s v="2561-1"/>
    <x v="0"/>
    <s v="TIAGO SANTANA"/>
    <n v="2175156.9500000002"/>
    <x v="0"/>
    <s v="CTE NORMAL"/>
    <s v="EMBU - SP"/>
    <n v="7774.81"/>
    <n v="933"/>
    <n v="3820.2"/>
    <s v="MATRIZ"/>
    <n v="0"/>
    <s v="UILIAN PRAZITO RODRIGUES"/>
    <n v="3200"/>
    <s v="INDEFINIDO"/>
    <n v="0"/>
    <n v="932.98"/>
    <n v="0"/>
    <n v="0"/>
    <n v="870.06"/>
    <n v="0"/>
    <n v="5003.04"/>
    <n v="2771.77"/>
    <n v="1243.97"/>
    <n v="1527.8000000000002"/>
    <n v="68.42"/>
    <n v="1459.38"/>
    <n v="0.18770000000000001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2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3"/>
        <item m="1" x="581"/>
        <item m="1" x="852"/>
        <item x="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5"/>
        <item m="1" x="46"/>
        <item sd="0" m="1" x="668"/>
        <item m="1" x="660"/>
        <item m="1" x="468"/>
        <item m="1" x="43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7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4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1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2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8"/>
        <item m="1" x="631"/>
        <item m="1" x="530"/>
        <item m="1" x="294"/>
        <item m="1" x="303"/>
        <item m="1" x="173"/>
        <item m="1" x="100"/>
        <item sd="0" m="1" x="69"/>
        <item m="1" x="578"/>
        <item sd="0" m="1" x="798"/>
        <item m="1" x="31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7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1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3"/>
        <item m="1" x="635"/>
        <item m="1" x="457"/>
        <item m="1" x="790"/>
        <item sd="0" m="1" x="703"/>
        <item m="1" x="233"/>
        <item m="1" x="597"/>
        <item m="1" x="42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0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6"/>
        <item m="1" x="707"/>
        <item m="1" x="22"/>
        <item m="1" x="35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7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0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2"/>
        <item m="1" x="301"/>
        <item m="1" x="548"/>
        <item m="1" x="59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4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3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4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8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0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49"/>
        <item m="1" x="605"/>
        <item m="1" x="83"/>
        <item m="1" x="325"/>
        <item m="1" x="33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3"/>
        <item sd="0" m="1" x="669"/>
        <item m="1" x="93"/>
        <item m="1" x="439"/>
        <item sd="0" m="1" x="350"/>
        <item m="1" x="784"/>
        <item m="1" x="498"/>
        <item m="1" x="60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7"/>
        <item m="1" x="782"/>
        <item m="1" x="252"/>
        <item m="1" x="474"/>
        <item m="1" x="812"/>
        <item m="1" x="463"/>
        <item m="1" x="745"/>
        <item m="1" x="648"/>
        <item m="1" x="775"/>
        <item sd="0" m="1" x="70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1"/>
        <item m="1" x="594"/>
        <item m="1" x="434"/>
        <item m="1" x="66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1"/>
        <item m="1" x="76"/>
        <item m="1" x="528"/>
        <item m="1" x="566"/>
        <item m="1" x="687"/>
        <item m="1" x="279"/>
        <item m="1" x="524"/>
        <item m="1" x="525"/>
        <item m="1" x="36"/>
        <item m="1" x="592"/>
        <item m="1" x="801"/>
        <item m="1" x="583"/>
        <item m="1" x="749"/>
        <item m="1" x="722"/>
        <item m="1" x="532"/>
        <item sd="0" m="1" x="45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4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8"/>
        <item m="1" x="50"/>
        <item m="1" x="851"/>
        <item m="1" x="28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39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7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6"/>
        <item m="1" x="277"/>
        <item m="1" x="507"/>
        <item sd="0" m="1" x="499"/>
        <item m="1" x="67"/>
        <item m="1" x="679"/>
        <item m="1" x="80"/>
        <item m="1" x="634"/>
        <item m="1" x="65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2"/>
        <item m="1" x="423"/>
        <item sd="0" m="1" x="25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29"/>
        <item m="1" x="104"/>
        <item m="1" x="533"/>
        <item sd="0" m="1" x="296"/>
        <item sd="0" m="1" x="396"/>
        <item sd="0" m="1" x="228"/>
        <item sd="0" m="1" x="7"/>
        <item m="1" x="472"/>
        <item sd="0" m="1" x="824"/>
        <item m="1" x="34"/>
        <item m="1" x="310"/>
        <item m="1" x="825"/>
        <item m="1" x="562"/>
        <item m="1" x="61"/>
        <item m="1" x="568"/>
        <item m="1" x="430"/>
        <item m="1" x="425"/>
        <item m="1" x="175"/>
        <item m="1" x="365"/>
        <item m="1" x="758"/>
        <item m="1" x="600"/>
        <item m="1" x="12"/>
        <item m="1" x="91"/>
        <item m="1" x="437"/>
        <item m="1" x="433"/>
        <item m="1" x="120"/>
        <item m="1" x="630"/>
        <item m="1" x="200"/>
        <item m="1" x="155"/>
        <item m="1" x="54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2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5"/>
        <item m="1" x="128"/>
        <item m="1" x="3"/>
        <item m="1" x="48"/>
        <item m="1" x="89"/>
        <item sd="0" m="1" x="201"/>
        <item m="1" x="38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2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3" s="1" nd="1"/>
        <i x="581" s="1" nd="1"/>
        <i x="852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5" s="1" nd="1"/>
        <i x="46" s="1" nd="1"/>
        <i x="668" s="1" nd="1"/>
        <i x="660" s="1" nd="1"/>
        <i x="468" s="1" nd="1"/>
        <i x="43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7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4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1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2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8" s="1" nd="1"/>
        <i x="631" s="1" nd="1"/>
        <i x="530" s="1" nd="1"/>
        <i x="294" s="1" nd="1"/>
        <i x="303" s="1" nd="1"/>
        <i x="173" s="1" nd="1"/>
        <i x="100" s="1" nd="1"/>
        <i x="69" s="1" nd="1"/>
        <i x="578" s="1" nd="1"/>
        <i x="798" s="1" nd="1"/>
        <i x="31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7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1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3" s="1" nd="1"/>
        <i x="635" s="1" nd="1"/>
        <i x="457" s="1" nd="1"/>
        <i x="790" s="1" nd="1"/>
        <i x="703" s="1" nd="1"/>
        <i x="233" s="1" nd="1"/>
        <i x="597" s="1" nd="1"/>
        <i x="42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0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6" s="1" nd="1"/>
        <i x="707" s="1" nd="1"/>
        <i x="22" s="1" nd="1"/>
        <i x="35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7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0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2" s="1" nd="1"/>
        <i x="301" s="1" nd="1"/>
        <i x="548" s="1" nd="1"/>
        <i x="59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4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3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4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8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0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49" s="1" nd="1"/>
        <i x="605" s="1" nd="1"/>
        <i x="83" s="1" nd="1"/>
        <i x="325" s="1" nd="1"/>
        <i x="33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3" s="1" nd="1"/>
        <i x="669" s="1" nd="1"/>
        <i x="93" s="1" nd="1"/>
        <i x="439" s="1" nd="1"/>
        <i x="350" s="1" nd="1"/>
        <i x="784" s="1" nd="1"/>
        <i x="498" s="1" nd="1"/>
        <i x="60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7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0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1" s="1" nd="1"/>
        <i x="594" s="1" nd="1"/>
        <i x="434" s="1" nd="1"/>
        <i x="66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1" s="1" nd="1"/>
        <i x="76" s="1" nd="1"/>
        <i x="528" s="1" nd="1"/>
        <i x="566" s="1" nd="1"/>
        <i x="687" s="1" nd="1"/>
        <i x="279" s="1" nd="1"/>
        <i x="524" s="1" nd="1"/>
        <i x="525" s="1" nd="1"/>
        <i x="36" s="1" nd="1"/>
        <i x="592" s="1" nd="1"/>
        <i x="801" s="1" nd="1"/>
        <i x="583" s="1" nd="1"/>
        <i x="749" s="1" nd="1"/>
        <i x="722" s="1" nd="1"/>
        <i x="532" s="1" nd="1"/>
        <i x="45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4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8" s="1" nd="1"/>
        <i x="50" s="1" nd="1"/>
        <i x="851" s="1" nd="1"/>
        <i x="28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39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7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6" s="1" nd="1"/>
        <i x="277" s="1" nd="1"/>
        <i x="507" s="1" nd="1"/>
        <i x="499" s="1" nd="1"/>
        <i x="67" s="1" nd="1"/>
        <i x="679" s="1" nd="1"/>
        <i x="80" s="1" nd="1"/>
        <i x="634" s="1" nd="1"/>
        <i x="65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2" s="1" nd="1"/>
        <i x="423" s="1" nd="1"/>
        <i x="25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29" s="1" nd="1"/>
        <i x="104" s="1" nd="1"/>
        <i x="533" s="1" nd="1"/>
        <i x="296" s="1" nd="1"/>
        <i x="396" s="1" nd="1"/>
        <i x="228" s="1" nd="1"/>
        <i x="7" s="1" nd="1"/>
        <i x="472" s="1" nd="1"/>
        <i x="824" s="1" nd="1"/>
        <i x="34" s="1" nd="1"/>
        <i x="310" s="1" nd="1"/>
        <i x="825" s="1" nd="1"/>
        <i x="562" s="1" nd="1"/>
        <i x="61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1" s="1" nd="1"/>
        <i x="437" s="1" nd="1"/>
        <i x="433" s="1" nd="1"/>
        <i x="120" s="1" nd="1"/>
        <i x="630" s="1" nd="1"/>
        <i x="200" s="1" nd="1"/>
        <i x="155" s="1" nd="1"/>
        <i x="54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2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5" s="1" nd="1"/>
        <i x="128" s="1" nd="1"/>
        <i x="3" s="1" nd="1"/>
        <i x="48" s="1" nd="1"/>
        <i x="89" s="1" nd="1"/>
        <i x="201" s="1" nd="1"/>
        <i x="3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2646</v>
      </c>
      <c r="B2" s="12" t="s">
        <v>579</v>
      </c>
      <c r="C2" s="14">
        <v>46255</v>
      </c>
      <c r="D2" s="14">
        <v>46255</v>
      </c>
      <c r="E2" s="12"/>
      <c r="F2" s="15" t="s">
        <v>580</v>
      </c>
      <c r="G2" s="15" t="s">
        <v>581</v>
      </c>
      <c r="H2" s="15" t="s">
        <v>582</v>
      </c>
      <c r="I2" s="16">
        <v>2175156.9500000002</v>
      </c>
      <c r="J2" s="15" t="s">
        <v>583</v>
      </c>
      <c r="K2" s="15" t="s">
        <v>584</v>
      </c>
      <c r="L2" s="15" t="s">
        <v>585</v>
      </c>
      <c r="M2" s="15">
        <v>7774.81</v>
      </c>
      <c r="N2" s="15">
        <v>933</v>
      </c>
      <c r="O2" s="16">
        <v>3820.2</v>
      </c>
      <c r="P2" s="15" t="s">
        <v>579</v>
      </c>
      <c r="Q2" s="15">
        <v>0</v>
      </c>
      <c r="R2" s="15" t="s">
        <v>586</v>
      </c>
      <c r="S2" s="15">
        <v>3200</v>
      </c>
      <c r="T2" s="15" t="s">
        <v>587</v>
      </c>
      <c r="U2" s="15">
        <v>0</v>
      </c>
      <c r="V2" s="15">
        <v>932.98</v>
      </c>
      <c r="W2" s="15">
        <v>0</v>
      </c>
      <c r="X2" s="15">
        <v>0</v>
      </c>
      <c r="Y2" s="15">
        <v>870.06</v>
      </c>
      <c r="Z2" s="15">
        <v>0</v>
      </c>
      <c r="AA2" s="15">
        <v>5003.04</v>
      </c>
      <c r="AB2" s="15">
        <v>2771.77</v>
      </c>
      <c r="AC2" s="15">
        <v>1243.97</v>
      </c>
      <c r="AD2" s="15">
        <v>1527.8000000000002</v>
      </c>
      <c r="AE2" s="15">
        <v>68.42</v>
      </c>
      <c r="AF2" s="15">
        <v>1459.38</v>
      </c>
      <c r="AG2" s="17">
        <v>0.18770000000000001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7774.81</v>
      </c>
      <c r="F3" s="89"/>
      <c r="G3" s="90"/>
      <c r="H3" s="133">
        <f>'Resumo Detalhado'!C2</f>
        <v>3820.2</v>
      </c>
      <c r="I3" s="134"/>
      <c r="J3" s="135">
        <f>E3/H3</f>
        <v>2.0351840217789645</v>
      </c>
      <c r="K3" s="136"/>
      <c r="L3" s="137"/>
      <c r="M3" s="138" t="s">
        <v>236</v>
      </c>
      <c r="N3" s="89"/>
      <c r="O3" s="90"/>
      <c r="P3" s="106">
        <v>3500</v>
      </c>
      <c r="Q3" s="107"/>
      <c r="R3" s="108"/>
      <c r="S3" s="103">
        <f>MIN(H3/P3,1)</f>
        <v>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3200</v>
      </c>
      <c r="F7" s="112"/>
      <c r="G7" s="112"/>
      <c r="H7" s="112"/>
      <c r="I7" s="112"/>
      <c r="J7" s="112">
        <f>E7/H3</f>
        <v>0.83765247892780492</v>
      </c>
      <c r="K7" s="112"/>
      <c r="L7" s="112"/>
      <c r="M7" s="130">
        <f>E7/E3</f>
        <v>0.41158562074185734</v>
      </c>
      <c r="N7" s="130"/>
      <c r="O7" s="130"/>
      <c r="P7" s="112">
        <f>E11+K11+Q11+E15+K15+Q15+E19+H19+K19</f>
        <v>6868.9943999999996</v>
      </c>
      <c r="Q7" s="112"/>
      <c r="R7" s="112"/>
      <c r="S7" s="112">
        <f>P7/H3</f>
        <v>1.798071933406628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3200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3200</v>
      </c>
      <c r="L11" s="90"/>
      <c r="M11" s="38"/>
      <c r="N11" s="88">
        <f>K11/H3</f>
        <v>0.83765247892780492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932.98</v>
      </c>
      <c r="F15" s="119"/>
      <c r="G15" s="119"/>
      <c r="H15" s="119"/>
      <c r="I15" s="132"/>
      <c r="J15" s="38"/>
      <c r="K15" s="113">
        <f>'Resumo Detalhado'!K2+'Resumo Detalhado'!L2</f>
        <v>1243.9696000000001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870.06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621.98480000000006</v>
      </c>
      <c r="L19" s="123"/>
      <c r="M19" s="38"/>
      <c r="N19" s="121" t="s">
        <v>588</v>
      </c>
      <c r="O19" s="119"/>
      <c r="P19" s="119"/>
      <c r="Q19" s="119"/>
      <c r="R19" s="120"/>
      <c r="S19" s="121">
        <f>_xlfn.XLOOKUP(N19,Target!C:C,Target!D:D)</f>
        <v>3200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1459.3804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0.18770624619765627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589</v>
      </c>
      <c r="F1" s="29"/>
    </row>
    <row r="2" spans="1:18" x14ac:dyDescent="0.3">
      <c r="B2" s="29">
        <f>SUM(B6:B5000)</f>
        <v>7774.81</v>
      </c>
      <c r="C2" s="29">
        <f>SUM(C6:C5000)</f>
        <v>3820.2</v>
      </c>
      <c r="D2" s="29">
        <f>SUM(D6:D5000)</f>
        <v>0</v>
      </c>
      <c r="E2" s="29">
        <f>SUM(E6:E5000)</f>
        <v>3200</v>
      </c>
      <c r="F2" s="29">
        <f>SUM(F6:F5000)</f>
        <v>0</v>
      </c>
      <c r="G2" s="29"/>
      <c r="H2" s="29">
        <f t="shared" ref="H2:P2" si="0">SUM(H6:H5000)</f>
        <v>932.98</v>
      </c>
      <c r="I2" s="29">
        <f t="shared" si="0"/>
        <v>870.06</v>
      </c>
      <c r="J2" s="29">
        <f t="shared" si="0"/>
        <v>0</v>
      </c>
      <c r="K2" s="29">
        <f t="shared" si="0"/>
        <v>621.98480000000006</v>
      </c>
      <c r="L2" s="29">
        <f t="shared" si="0"/>
        <v>621.98480000000006</v>
      </c>
      <c r="M2" s="29">
        <f t="shared" si="0"/>
        <v>68.42</v>
      </c>
      <c r="N2" s="29">
        <f t="shared" si="0"/>
        <v>1459.3804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2646</v>
      </c>
      <c r="B6" s="140">
        <v>7774.81</v>
      </c>
      <c r="C6" s="141">
        <v>3820.2</v>
      </c>
      <c r="D6" s="140">
        <v>0</v>
      </c>
      <c r="E6" s="140">
        <v>3200</v>
      </c>
      <c r="F6" s="140">
        <v>0</v>
      </c>
      <c r="G6" s="142">
        <v>0.41158562074185734</v>
      </c>
      <c r="H6" s="140">
        <v>932.98</v>
      </c>
      <c r="I6" s="140">
        <v>870.06</v>
      </c>
      <c r="J6" s="140">
        <v>0</v>
      </c>
      <c r="K6" s="140">
        <v>621.98480000000006</v>
      </c>
      <c r="L6" s="140">
        <v>621.98480000000006</v>
      </c>
      <c r="M6" s="140">
        <v>68.42</v>
      </c>
      <c r="N6" s="140">
        <v>1459.3804</v>
      </c>
      <c r="O6" s="142">
        <v>0.18770624619765627</v>
      </c>
      <c r="Q6"/>
    </row>
    <row r="7" spans="1:18" s="31" customFormat="1" x14ac:dyDescent="0.3">
      <c r="A7" s="9" t="s">
        <v>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589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581</v>
      </c>
      <c r="B5" s="10">
        <v>7774.81</v>
      </c>
      <c r="C5" s="10">
        <v>1459.3804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2026-08-26T13:02:37Z</dcterms:modified>
  <cp:category/>
  <cp:contentStatus/>
</cp:coreProperties>
</file>