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B77140C-32B3-4F91-9158-4351E1DF484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<sst xmlns="http://schemas.openxmlformats.org/spreadsheetml/2006/main" count="901" uniqueCount="626">
  <si>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</si>
  <si>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</si>
  <si>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</si>
  <si>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</si>
  <si>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</si>
  <si>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</si>
  <si>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</si>
  <si>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</si>
  <si>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</si>
  <si>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</si>
  <si>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</si>
  <si>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</si>
  <si>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</si>
  <si>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</si>
  <si>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</si>
  <si>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</si>
  <si>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</si>
  <si>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</si>
  <si>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</si>
  <si>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</si>
  <si>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</si>
  <si>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</si>
  <si>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</si>
  <si>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</si>
  <si>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</si>
  <si>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</si>
  <si>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</si>
  <si>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</si>
  <si>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</si>
  <si>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</si>
  <si>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</si>
  <si>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</si>
  <si>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</si>
  <si>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</si>
  <si>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</si>
  <si>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</si>
  <si>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</si>
  <si>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</si>
  <si>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</si>
  <si>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</si>
  <si>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</si>
  <si>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</si>
  <si>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</si>
  <si>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</si>
  <si>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</si>
  <si>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</si>
  <si>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</si>
  <si>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</si>
  <si>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</si>
  <si>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</si>
  <si>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</si>
  <si>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</si>
  <si>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</si>
  <si>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</si>
  <si>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</si>
  <si>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</si>
  <si>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</si>
  <si>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</si>
  <si>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</si>
  <si>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</si>
  <si>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</si>
  <si>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</si>
  <si>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</si>
  <si>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</si>
  <si>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</si>
  <si>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</si>
  <si>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</si>
  <si>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</si>
  <si>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</si>
  <si>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</si>
  <si>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</si>
  <si>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</si>
  <si>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</si>
  <si>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</si>
  <si>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</si>
  <si>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</si>
  <si>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</si>
  <si>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</si>
  <si>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</si>
  <si>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</si>
  <si>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</si>
  <si>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</si>
  <si>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</si>
  <si>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</si>
  <si>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</si>
  <si>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</si>
  <si>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</si>
  <si>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</si>
  <si>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</si>
  <si>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</si>
  <si>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</si>
  <si>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</si>
  <si>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</si>
  <si>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</si>
  <si>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</si>
  <si>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</si>
  <si>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</si>
  <si>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</si>
  <si>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</si>
  <si>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</si>
  <si>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</si>
  <si>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</si>
  <si>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</si>
  <si>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</si>
  <si>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</si>
  <si>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</si>
  <si>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</si>
  <si>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</si>
  <si>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</si>
  <si>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</si>
  <si>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</si>
  <si>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</si>
  <si>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</si>
  <si>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</si>
  <si>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</si>
  <si>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</si>
  <si>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</si>
  <si>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</si>
  <si>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</si>
  <si>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</si>
  <si>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</si>
  <si>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</si>
  <si>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</si>
  <si>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</si>
  <si>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</si>
  <si>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</si>
  <si>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</si>
  <si>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</si>
  <si>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</si>
  <si>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</si>
  <si>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</si>
  <si>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</si>
  <si>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</si>
  <si>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</si>
  <si>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</si>
  <si>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</si>
  <si>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</si>
  <si>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</si>
  <si>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</si>
  <si>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</si>
  <si>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</si>
  <si>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</si>
  <si>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</si>
  <si>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</si>
  <si>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</si>
  <si>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</si>
  <si>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</si>
  <si>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</si>
  <si>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</si>
  <si>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</si>
  <si>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</si>
  <si>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</si>
  <si>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</si>
  <si>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</si>
  <si>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</si>
  <si>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</si>
  <si>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</si>
  <si>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</si>
  <si>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</si>
  <si>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</si>
  <si>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</si>
  <si>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</si>
  <si>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</si>
  <si>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</si>
  <si>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</si>
  <si>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</si>
  <si>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</si>
  <si>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</si>
  <si>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</si>
  <si>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</si>
  <si>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</si>
  <si>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</si>
  <si>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</si>
  <si>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</si>
  <si>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</si>
  <si>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</si>
  <si>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</si>
  <si>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</si>
  <si>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</si>
  <si>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</si>
  <si>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</si>
  <si>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</si>
  <si>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</si>
  <si>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</si>
  <si>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</si>
  <si>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</si>
  <si>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</si>
  <si>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</si>
  <si>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</si>
  <si>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</si>
  <si>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</si>
  <si>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</si>
  <si>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</si>
  <si>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</si>
  <si>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</si>
  <si>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</si>
  <si>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</si>
  <si>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</si>
  <si>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</si>
  <si>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</si>
  <si>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</si>
  <si>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</si>
  <si>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</si>
  <si>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</si>
  <si>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</si>
  <si>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</si>
  <si>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</si>
  <si>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</si>
  <si>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</si>
  <si>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</si>
  <si>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</si>
  <si>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</si>
  <si>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</si>
  <si>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</si>
  <si>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</si>
  <si>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</si>
  <si>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</si>
  <si>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</si>
  <si>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</si>
  <si>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</si>
  <si>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</si>
  <si>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</si>
  <si>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</si>
  <si>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</si>
  <si>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</si>
  <si>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</si>
  <si>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</si>
  <si>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</si>
  <si>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</si>
  <si>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</si>
  <si>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</si>
  <si>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</si>
  <si>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</si>
  <si>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</si>
  <si>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</si>
  <si>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</si>
  <si>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</si>
  <si>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</si>
  <si>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</si>
  <si>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</si>
  <si>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</si>
  <si>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</si>
  <si>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</si>
  <si>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</si>
  <si>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</si>
  <si>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</si>
  <si>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</si>
  <si>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</si>
  <si>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</si>
  <si>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</si>
  <si>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</si>
  <si>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</si>
  <si>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</si>
  <si>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</si>
  <si>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</si>
  <si>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</si>
  <si>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</si>
  <si>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</si>
  <si>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</si>
  <si>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</si>
  <si>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</si>
  <si>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</si>
  <si>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</si>
  <si>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</si>
  <si>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</si>
  <si>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</si>
  <si>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</si>
  <si>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</si>
  <si>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</si>
  <si>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</si>
  <si>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</si>
  <si>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</si>
  <si>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</si>
  <si>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</si>
  <si>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</si>
  <si>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</si>
  <si>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</si>
  <si>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</si>
  <si>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</si>
  <si>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</si>
  <si>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</si>
  <si>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</si>
  <si>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</si>
  <si>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</si>
  <si>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</si>
  <si>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</si>
  <si>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</si>
  <si>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</si>
  <si>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</si>
  <si>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</si>
  <si>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</si>
  <si>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</si>
  <si>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</si>
  <si>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</si>
  <si>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</si>
  <si>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</si>
  <si>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</si>
  <si>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</si>
  <si>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</si>
  <si>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</si>
  <si>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</si>
  <si>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</si>
  <si>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</si>
  <si>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</si>
  <si>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</si>
  <si>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</si>
  <si>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</si>
  <si>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</si>
  <si>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</si>
  <si>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</si>
  <si>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</si>
  <si>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</si>
  <si>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</si>
  <si>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</si>
  <si>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</si>
  <si>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</si>
  <si>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</si>
  <si>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</si>
  <si>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</si>
  <si>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</si>
  <si>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</si>
  <si>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</si>
  <si>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</si>
  <si>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</si>
  <si>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</si>
  <si>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</si>
  <si>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</si>
  <si>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</si>
  <si>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</si>
  <si>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</si>
  <si>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</si>
  <si>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</si>
  <si>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</si>
  <si>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</si>
  <si>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</si>
  <si>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</si>
  <si>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</si>
  <si>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</si>
  <si>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</si>
  <si>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</si>
  <si>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</si>
  <si>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</si>
  <si>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</si>
  <si>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</si>
  <si>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</si>
  <si>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</si>
  <si>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</si>
  <si>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</si>
  <si>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</si>
  <si>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</si>
  <si>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</si>
  <si>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</si>
  <si>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</si>
  <si>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</si>
  <si>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</si>
  <si>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</si>
  <si>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</si>
  <si>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</si>
  <si>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</si>
  <si>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</si>
  <si>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</si>
  <si>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</si>
  <si>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</si>
  <si>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</si>
  <si>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</si>
  <si>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</si>
  <si>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</si>
  <si>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</si>
  <si>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</si>
  <si>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</si>
  <si>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</si>
  <si>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</si>
  <si>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</si>
  <si>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</si>
  <si>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</si>
  <si>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</si>
  <si>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</si>
  <si>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</si>
  <si>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</si>
  <si>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</si>
  <si>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</si>
  <si>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</si>
  <si>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</si>
  <si>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</si>
  <si>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</si>
  <si>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</si>
  <si>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</si>
  <si>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</si>
  <si>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</si>
  <si>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</si>
  <si>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</si>
  <si>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</si>
  <si>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</si>
  <si>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</si>
  <si>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</si>
  <si>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</si>
  <si>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</si>
  <si>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</si>
  <si>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</si>
  <si>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</si>
  <si>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</si>
  <si>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</si>
  <si>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</si>
  <si>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</si>
  <si>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</si>
  <si>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</si>
  <si>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</si>
  <si>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</si>
  <si>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</si>
  <si>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</si>
  <si>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</si>
  <si>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</si>
  <si>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</si>
  <si>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</si>
  <si>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</si>
  <si>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</si>
  <si>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</si>
  <si>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</si>
  <si>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</si>
  <si>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</si>
  <si>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</si>
  <si>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</si>
  <si>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</si>
  <si>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</si>
  <si>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</si>
  <si>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</si>
  <si>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</si>
  <si>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</si>
  <si>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</si>
  <si>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</si>
  <si>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</si>
  <si>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</si>
  <si>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</si>
  <si>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</si>
  <si>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</si>
  <si>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</si>
  <si>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</si>
  <si>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</si>
  <si>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</si>
  <si>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</si>
  <si>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</si>
  <si>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</si>
  <si>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</si>
  <si>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</si>
  <si>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</si>
  <si>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</si>
  <si>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</si>
  <si>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</si>
  <si>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</si>
  <si>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</si>
  <si>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</si>
  <si>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</si>
  <si>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</si>
  <si>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</si>
  <si>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</si>
  <si>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</si>
  <si>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</si>
  <si>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</si>
  <si>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</si>
  <si>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</si>
  <si>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</si>
  <si>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</si>
  <si>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</si>
  <si>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</si>
  <si>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</si>
  <si>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</si>
  <si>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</si>
  <si>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</si>
  <si>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</si>
  <si>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</si>
  <si>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</si>
  <si>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</si>
  <si>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</si>
  <si>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</si>
  <si>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</si>
  <si>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</si>
  <si>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</si>
  <si>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</si>
  <si>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</si>
  <si>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</si>
  <si>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</si>
  <si>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</si>
  <si>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</si>
  <si>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</si>
  <si>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</si>
  <si>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</si>
  <si>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</si>
  <si>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</si>
  <si>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</si>
  <si>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</si>
  <si>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</si>
  <si>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</si>
  <si>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</si>
  <si>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</si>
  <si>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</si>
  <si>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</si>
  <si>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</si>
  <si>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</si>
  <si>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</si>
  <si>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</si>
  <si>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</si>
  <si>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</si>
  <si>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</si>
  <si>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</si>
  <si>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</si>
  <si>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</si>
  <si>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</si>
  <si>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</si>
  <si>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</si>
  <si>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</si>
  <si>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</si>
  <si>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</si>
  <si>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</si>
  <si>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</si>
  <si>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</si>
  <si>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</si>
  <si>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</si>
  <si>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</si>
  <si>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</si>
  <si>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</si>
  <si>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</si>
  <si>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</si>
  <si>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</si>
  <si>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</si>
  <si>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</si>
  <si>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</si>
  <si>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</si>
  <si>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</si>
  <si>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</si>
  <si>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</si>
  <si>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</si>
  <si>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</si>
  <si>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</si>
  <si>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</si>
  <si>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</si>
  <si>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</si>
  <si>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</si>
  <si>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</si>
  <si>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</si>
  <si>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</si>
  <si>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</si>
  <si>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</si>
  <si>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</si>
  <si>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</si>
  <si>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</si>
  <si>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</si>
  <si>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</si>
  <si>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</si>
  <si>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</si>
  <si>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</si>
  <si>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</si>
  <si>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</si>
  <si>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</si>
  <si>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</si>
  <si>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</si>
  <si>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</si>
  <si>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</si>
  <si>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</si>
  <si>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</si>
  <si>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</si>
  <si>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</si>
  <si>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</si>
  <si>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</si>
  <si>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</si>
  <si>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</si>
  <si>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</si>
  <si>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</si>
  <si>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</si>
  <si>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</si>
  <si>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</si>
  <si>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</si>
  <si>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</si>
  <si>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</si>
  <si>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</si>
  <si>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</si>
  <si>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</si>
  <si>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</si>
  <si>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</si>
  <si>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</si>
  <si>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</si>
  <si>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</si>
  <si>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</si>
  <si>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</si>
  <si>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</si>
  <si>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</si>
  <si>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</si>
  <si>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</si>
  <si>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</si>
  <si>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</si>
  <si>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</si>
  <si>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</si>
  <si>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</si>
  <si>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</si>
  <si>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</si>
  <si>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</si>
  <si>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</si>
  <si>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</si>
  <si>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</si>
  <si>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</si>
  <si>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</si>
  <si>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</si>
  <si>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</si>
  <si>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</si>
  <si>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</si>
  <si>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</si>
  <si>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</si>
  <si>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MATRIZ</t>
  </si>
  <si>
    <t>2246-6</t>
  </si>
  <si>
    <t>MATTEL DO BRASI</t>
  </si>
  <si>
    <t>MARLON MARQUES</t>
  </si>
  <si>
    <t>EXPRESSO_250</t>
  </si>
  <si>
    <t>CTE NORMAL</t>
  </si>
  <si>
    <t>SANTA MARIA - RS</t>
  </si>
  <si>
    <t>DARLILSON DOS SANTOS OLIV</t>
  </si>
  <si>
    <t>N/D</t>
  </si>
  <si>
    <t>TR OLM LTDA</t>
  </si>
  <si>
    <t>203769-1</t>
  </si>
  <si>
    <t>LAHUMAN DISTRIB</t>
  </si>
  <si>
    <t>LUCAS DA SILVA MENDES/URI</t>
  </si>
  <si>
    <t>ECONOMICO_250</t>
  </si>
  <si>
    <t>SERTAO - RS</t>
  </si>
  <si>
    <t>RAFAEL DE FREITAS</t>
  </si>
  <si>
    <t>GRITSCH LTDA</t>
  </si>
  <si>
    <t>TRANSPORTES GRITSCH LTDA</t>
  </si>
  <si>
    <t>Itajai-Sc X Santa Maria-Rsvan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</si>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</sst>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[Analise_VINICIUS_24092026.xlsx]Resumo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257.73</c:v>
                </c:pt>
                <c:pt idx="1">
                  <c:v>5965.91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202.21159999999998</c:v>
                </c:pt>
                <c:pt idx="1">
                  <c:v>4696.5272000000004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[Analise_VINICIUS_24092026.xlsx]Resumo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257.73</c:v>
                </c:pt>
                <c:pt idx="1">
                  <c:v>5965.91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LAHUMAN DISTRIB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202.21159999999998</c:v>
                </c:pt>
                <c:pt idx="1">
                  <c:v>4696.5272000000004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4.43830868055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2483" count="8000">
        <n v="302462"/>
        <n v="30248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09-25T00:00:00"/>
    </cacheField>
    <cacheField name="DATA" numFmtId="14">
      <sharedItems containsNonDate="0" containsDate="1" containsString="0" containsBlank="1" minDate="2026-09-24T00:00:00" maxDate="2026-09-2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MATTEL DO BRASI"/>
        <s v="LAHUMAN DISTRIB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50" maxValue="60830.95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7.73" maxValue="5965.91"/>
    </cacheField>
    <cacheField name="VOLUMES" numFmtId="0">
      <sharedItems containsString="0" containsBlank="1" containsNumber="1" containsInteger="1" minValue="2" maxValue="157"/>
    </cacheField>
    <cacheField name="PESO" numFmtId="0">
      <sharedItems containsString="0" containsBlank="1" containsNumber="1" minValue="26.53" maxValue="394.85"/>
    </cacheField>
    <cacheField name="RESP. COLETA" numFmtId="0">
      <sharedItems containsBlank="1"/>
    </cacheField>
    <cacheField name="CUSTO COLETA" numFmtId="0">
      <sharedItems containsString="0" containsBlank="1" containsNumber="1" minValue="2.2999999999999998" maxValue="38.46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0.93" maxValue="715.9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8" maxValue="30.42"/>
    </cacheField>
    <cacheField name="OUTROS" numFmtId="0">
      <sharedItems containsString="0" containsBlank="1" containsNumber="1" minValue="0.49" maxValue="7.32"/>
    </cacheField>
    <cacheField name="C.TOTAL" numFmtId="0">
      <sharedItems containsString="0" containsBlank="1" containsNumber="1" minValue="328.97" maxValue="3603.23"/>
    </cacheField>
    <cacheField name="RECEITA" numFmtId="0">
      <sharedItems containsString="0" containsBlank="1" containsNumber="1" minValue="-71.239999999999995" maxValue="2362.6799999999998"/>
    </cacheField>
    <cacheField name="IMPOSTO" numFmtId="0">
      <sharedItems containsString="0" containsBlank="1" containsNumber="1" minValue="67.010000000000005" maxValue="1551.14"/>
    </cacheField>
    <cacheField name="RESULTADO" numFmtId="0">
      <sharedItems containsString="0" containsBlank="1" containsNumber="1" minValue="-138.25" maxValue="811.5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38.25" maxValue="811.54"/>
    </cacheField>
    <cacheField name="MARGEM" numFmtId="10">
      <sharedItems containsString="0" containsBlank="1" containsNumber="1" minValue="-0.53639999999999999" maxValue="0.1360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4T00:00:00"/>
    <d v="2026-09-24T00:00:00"/>
    <m/>
    <s v="2246-6"/>
    <x v="0"/>
    <s v="MARLON MARQUES"/>
    <n v="60830.95"/>
    <x v="0"/>
    <s v="CTE NORMAL"/>
    <s v="SANTA MARIA - RS"/>
    <n v="5965.91"/>
    <n v="157"/>
    <n v="394.85"/>
    <s v="DARLILSON DOS SANTOS OLIV"/>
    <n v="38.46"/>
    <s v="N/D"/>
    <n v="0"/>
    <s v="TR OLM LTDA"/>
    <n v="0"/>
    <n v="715.91"/>
    <n v="0"/>
    <n v="0"/>
    <n v="30.42"/>
    <n v="7.32"/>
    <n v="3603.23"/>
    <n v="2362.6799999999998"/>
    <n v="1551.14"/>
    <n v="811.54"/>
    <n v="0"/>
    <n v="811.54"/>
    <n v="0.13600000000000001"/>
    <m/>
  </r>
  <r>
    <x v="1"/>
    <s v="MATRIZ"/>
    <d v="2026-09-24T00:00:00"/>
    <d v="2026-09-24T00:00:00"/>
    <m/>
    <s v="203769-1"/>
    <x v="1"/>
    <s v="LUCAS DA SILVA MENDES/URI"/>
    <n v="2350"/>
    <x v="1"/>
    <s v="CTE NORMAL"/>
    <s v="SERTAO - RS"/>
    <n v="257.73"/>
    <n v="2"/>
    <n v="26.53"/>
    <s v="RAFAEL DE FREITAS"/>
    <n v="2.2999999999999998"/>
    <s v="GRITSCH LTDA"/>
    <n v="0"/>
    <s v="TRANSPORTES GRITSCH LTDA"/>
    <n v="0"/>
    <n v="30.93"/>
    <n v="0"/>
    <n v="0"/>
    <n v="1.18"/>
    <n v="0.49"/>
    <n v="328.97"/>
    <n v="-71.239999999999995"/>
    <n v="67.010000000000005"/>
    <n v="-138.25"/>
    <n v="0"/>
    <n v="-138.25"/>
    <n v="-0.5363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x="1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x="0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25"/>
    </i>
    <i r="1">
      <x v="7999"/>
    </i>
    <i>
      <x v="496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x="1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x="0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25"/>
    </i>
    <i>
      <x v="496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9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1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4" s="1" nd="1"/>
        <i x="440" s="1" nd="1"/>
        <i x="351" s="1" nd="1"/>
        <i x="785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80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2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88" totalsRowShown="0" headerRowDxfId="92" dataDxfId="90" headerRowBorderDxfId="91" tableBorderDxfId="89" totalsRowBorderDxfId="88">
  <autoFilter ref="A1:D38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302462</v>
      </c>
      <c r="B2" s="12" t="s">
        <v>606</v>
      </c>
      <c r="C2" s="14">
        <v>46289</v>
      </c>
      <c r="D2" s="14">
        <v>46289</v>
      </c>
      <c r="E2" s="12"/>
      <c r="F2" s="15" t="s">
        <v>607</v>
      </c>
      <c r="G2" s="15" t="s">
        <v>608</v>
      </c>
      <c r="H2" s="15" t="s">
        <v>609</v>
      </c>
      <c r="I2" s="16">
        <v>60830.95</v>
      </c>
      <c r="J2" s="15" t="s">
        <v>610</v>
      </c>
      <c r="K2" s="15" t="s">
        <v>611</v>
      </c>
      <c r="L2" s="15" t="s">
        <v>612</v>
      </c>
      <c r="M2" s="15">
        <v>5965.91</v>
      </c>
      <c r="N2" s="15">
        <v>157</v>
      </c>
      <c r="O2" s="16">
        <v>394.85</v>
      </c>
      <c r="P2" s="15" t="s">
        <v>613</v>
      </c>
      <c r="Q2" s="15">
        <v>38.46</v>
      </c>
      <c r="R2" s="15" t="s">
        <v>614</v>
      </c>
      <c r="S2" s="15">
        <v>0</v>
      </c>
      <c r="T2" s="15" t="s">
        <v>615</v>
      </c>
      <c r="U2" s="15">
        <v>0</v>
      </c>
      <c r="V2" s="15">
        <v>715.91</v>
      </c>
      <c r="W2" s="15">
        <v>0</v>
      </c>
      <c r="X2" s="15">
        <v>0</v>
      </c>
      <c r="Y2" s="15">
        <v>30.42</v>
      </c>
      <c r="Z2" s="15">
        <v>7.32</v>
      </c>
      <c r="AA2" s="15">
        <v>3603.23</v>
      </c>
      <c r="AB2" s="15">
        <v>2362.6799999999998</v>
      </c>
      <c r="AC2" s="15">
        <v>1551.14</v>
      </c>
      <c r="AD2" s="15">
        <v>811.54</v>
      </c>
      <c r="AE2" s="15">
        <v>0</v>
      </c>
      <c r="AF2" s="15">
        <v>811.54</v>
      </c>
      <c r="AG2" s="17">
        <v>0.13600000000000001</v>
      </c>
      <c r="AH2" s="15"/>
    </row>
    <row r="3" spans="1:34" s="1" customFormat="1" ht="12" customHeight="1" x14ac:dyDescent="0.3">
      <c r="A3" s="13">
        <v>302483</v>
      </c>
      <c r="B3" s="12" t="s">
        <v>606</v>
      </c>
      <c r="C3" s="14">
        <v>46289</v>
      </c>
      <c r="D3" s="14">
        <v>46289</v>
      </c>
      <c r="E3" s="12"/>
      <c r="F3" s="15" t="s">
        <v>616</v>
      </c>
      <c r="G3" s="15" t="s">
        <v>617</v>
      </c>
      <c r="H3" s="15" t="s">
        <v>618</v>
      </c>
      <c r="I3" s="16">
        <v>2350</v>
      </c>
      <c r="J3" s="15" t="s">
        <v>619</v>
      </c>
      <c r="K3" s="15" t="s">
        <v>611</v>
      </c>
      <c r="L3" s="15" t="s">
        <v>620</v>
      </c>
      <c r="M3" s="16">
        <v>257.73</v>
      </c>
      <c r="N3" s="15">
        <v>2</v>
      </c>
      <c r="O3" s="16">
        <v>26.53</v>
      </c>
      <c r="P3" s="15" t="s">
        <v>621</v>
      </c>
      <c r="Q3" s="15">
        <v>2.2999999999999998</v>
      </c>
      <c r="R3" s="15" t="s">
        <v>622</v>
      </c>
      <c r="S3" s="15">
        <v>0</v>
      </c>
      <c r="T3" s="15" t="s">
        <v>623</v>
      </c>
      <c r="U3" s="15">
        <v>0</v>
      </c>
      <c r="V3" s="15">
        <v>30.93</v>
      </c>
      <c r="W3" s="15">
        <v>0</v>
      </c>
      <c r="X3" s="15">
        <v>0</v>
      </c>
      <c r="Y3" s="15">
        <v>1.18</v>
      </c>
      <c r="Z3" s="15">
        <v>0.49</v>
      </c>
      <c r="AA3" s="16">
        <v>328.97</v>
      </c>
      <c r="AB3" s="16">
        <v>-71.239999999999995</v>
      </c>
      <c r="AC3" s="15">
        <v>67.010000000000005</v>
      </c>
      <c r="AD3" s="15">
        <v>-138.25</v>
      </c>
      <c r="AE3" s="15">
        <v>0</v>
      </c>
      <c r="AF3" s="15">
        <v>-138.25</v>
      </c>
      <c r="AG3" s="17">
        <v>-0.53639999999999999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6223.6399999999994</v>
      </c>
      <c r="F3" s="89"/>
      <c r="G3" s="90"/>
      <c r="H3" s="133">
        <f>'Resumo Detalhado'!C2</f>
        <v>421.38</v>
      </c>
      <c r="I3" s="134"/>
      <c r="J3" s="135">
        <f>E3/H3</f>
        <v>14.769661588115239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0.35115000000000002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3040.76</v>
      </c>
      <c r="F7" s="112"/>
      <c r="G7" s="112"/>
      <c r="H7" s="112"/>
      <c r="I7" s="112"/>
      <c r="J7" s="112">
        <f>E7/H3</f>
        <v>7.2161944088471222</v>
      </c>
      <c r="K7" s="112"/>
      <c r="L7" s="112"/>
      <c r="M7" s="130">
        <f>E7/E3</f>
        <v>0.48858224447429488</v>
      </c>
      <c r="N7" s="130"/>
      <c r="O7" s="130"/>
      <c r="P7" s="112">
        <f>E11+K11+Q11+E15+K15+Q15+E19+H19+K19</f>
        <v>5320.6836000000012</v>
      </c>
      <c r="Q7" s="112"/>
      <c r="R7" s="112"/>
      <c r="S7" s="112">
        <f>P7/H3</f>
        <v>12.626806208173148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3000</v>
      </c>
      <c r="L11" s="90"/>
      <c r="M11" s="38"/>
      <c r="N11" s="88">
        <f>K11/H3</f>
        <v>7.1194646162608572</v>
      </c>
      <c r="O11" s="90"/>
      <c r="P11" s="38"/>
      <c r="Q11" s="88">
        <f>'Resumo Detalhado'!D2</f>
        <v>40.76</v>
      </c>
      <c r="R11" s="90"/>
      <c r="S11" s="38"/>
      <c r="T11" s="88">
        <f>Q11/H3</f>
        <v>9.6729792586264171E-2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746.83999999999992</v>
      </c>
      <c r="F15" s="119"/>
      <c r="G15" s="119"/>
      <c r="H15" s="119"/>
      <c r="I15" s="132"/>
      <c r="J15" s="38"/>
      <c r="K15" s="113">
        <f>'Resumo Detalhado'!K2+'Resumo Detalhado'!L2</f>
        <v>995.78240000000005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31.6</v>
      </c>
      <c r="F19" s="120"/>
      <c r="G19" s="38"/>
      <c r="H19" s="122">
        <f>'Resumo Detalhado'!J2</f>
        <v>7.8100000000000005</v>
      </c>
      <c r="I19" s="123"/>
      <c r="J19" s="38"/>
      <c r="K19" s="122">
        <f>'Resumo Detalhado'!L2</f>
        <v>497.89120000000003</v>
      </c>
      <c r="L19" s="123"/>
      <c r="M19" s="38"/>
      <c r="N19" s="121" t="s">
        <v>624</v>
      </c>
      <c r="O19" s="119"/>
      <c r="P19" s="119"/>
      <c r="Q19" s="119"/>
      <c r="R19" s="120"/>
      <c r="S19" s="121">
        <v>2900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4898.7388000000001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0.7871179566941533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625</v>
      </c>
      <c r="F1" s="29"/>
    </row>
    <row r="2" spans="1:18" x14ac:dyDescent="0.3">
      <c r="B2" s="29">
        <f>SUM(B6:B5000)</f>
        <v>6223.6399999999994</v>
      </c>
      <c r="C2" s="29">
        <f>SUM(C6:C5000)</f>
        <v>421.38</v>
      </c>
      <c r="D2" s="29">
        <f>SUM(D6:D5000)</f>
        <v>40.76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746.83999999999992</v>
      </c>
      <c r="I2" s="29">
        <f t="shared" si="0"/>
        <v>31.6</v>
      </c>
      <c r="J2" s="29">
        <f t="shared" si="0"/>
        <v>7.8100000000000005</v>
      </c>
      <c r="K2" s="29">
        <f t="shared" si="0"/>
        <v>497.89120000000003</v>
      </c>
      <c r="L2" s="29">
        <f t="shared" si="0"/>
        <v>497.89120000000003</v>
      </c>
      <c r="M2" s="29">
        <f t="shared" si="0"/>
        <v>0</v>
      </c>
      <c r="N2" s="29">
        <f t="shared" si="0"/>
        <v>4898.7388000000001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302483</v>
      </c>
      <c r="B6" s="139">
        <v>257.73</v>
      </c>
      <c r="C6" s="140">
        <v>26.53</v>
      </c>
      <c r="D6" s="139">
        <v>2.2999999999999998</v>
      </c>
      <c r="E6" s="139">
        <v>0</v>
      </c>
      <c r="F6" s="139">
        <v>0</v>
      </c>
      <c r="G6" s="141">
        <v>8.9240678229154536E-3</v>
      </c>
      <c r="H6" s="139">
        <v>30.93</v>
      </c>
      <c r="I6" s="139">
        <v>1.18</v>
      </c>
      <c r="J6" s="139">
        <v>0.49</v>
      </c>
      <c r="K6" s="139">
        <v>20.618400000000001</v>
      </c>
      <c r="L6" s="139">
        <v>20.618400000000001</v>
      </c>
      <c r="M6" s="139">
        <v>0</v>
      </c>
      <c r="N6" s="139">
        <v>202.21159999999998</v>
      </c>
      <c r="O6" s="141">
        <v>0.78458697086097839</v>
      </c>
      <c r="Q6"/>
    </row>
    <row r="7" spans="1:18" s="31" customFormat="1" x14ac:dyDescent="0.3">
      <c r="A7" s="9" t="s">
        <v>608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302462</v>
      </c>
      <c r="B8" s="139">
        <v>5965.91</v>
      </c>
      <c r="C8" s="140">
        <v>394.85</v>
      </c>
      <c r="D8" s="139">
        <v>38.46</v>
      </c>
      <c r="E8" s="139">
        <v>0</v>
      </c>
      <c r="F8" s="139">
        <v>0</v>
      </c>
      <c r="G8" s="141">
        <v>6.4466275890853204E-3</v>
      </c>
      <c r="H8" s="139">
        <v>715.91</v>
      </c>
      <c r="I8" s="139">
        <v>30.42</v>
      </c>
      <c r="J8" s="139">
        <v>7.32</v>
      </c>
      <c r="K8" s="139">
        <v>477.27280000000002</v>
      </c>
      <c r="L8" s="139">
        <v>477.27280000000002</v>
      </c>
      <c r="M8" s="139">
        <v>0</v>
      </c>
      <c r="N8" s="139">
        <v>4696.5272000000004</v>
      </c>
      <c r="O8" s="141">
        <v>0.78722729642250733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625</v>
      </c>
    </row>
    <row r="2" spans="1:4" x14ac:dyDescent="0.3">
      <c r="B2" s="29">
        <f>SUM(B6:B5000)</f>
        <v>5965.91</v>
      </c>
      <c r="C2" s="29">
        <f>SUM(C6:C5000)</f>
        <v>4696.5272000000004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617</v>
      </c>
      <c r="B5" s="10">
        <v>257.73</v>
      </c>
      <c r="C5" s="10">
        <v>202.21159999999998</v>
      </c>
    </row>
    <row r="6" spans="1:4" x14ac:dyDescent="0.3">
      <c r="A6" s="9" t="s">
        <v>608</v>
      </c>
      <c r="B6" s="139">
        <v>5965.91</v>
      </c>
      <c r="C6" s="139">
        <v>4696.5272000000004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8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142" t="s">
        <v>624</v>
      </c>
      <c r="D388" s="87">
        <v>2900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2026-09-29T13:31:21Z</dcterms:modified>
  <cp:category/>
  <cp:contentStatus/>
</cp:coreProperties>
</file>