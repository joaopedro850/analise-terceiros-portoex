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D656979-188D-4B91-9BC0-EA1CBAE93CD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<sst xmlns="http://schemas.openxmlformats.org/spreadsheetml/2006/main" count="911" uniqueCount="630">
  <si>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</si>
  <si>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</si>
  <si>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</si>
  <si>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</si>
  <si>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</si>
  <si>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</si>
  <si>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</si>
  <si>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</si>
  <si>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</si>
  <si>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</si>
  <si>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</si>
  <si>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</si>
  <si>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</si>
  <si>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</si>
  <si>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</si>
  <si>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</si>
  <si>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</si>
  <si>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</si>
  <si>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</si>
  <si>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</si>
  <si>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</si>
  <si>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</si>
  <si>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</si>
  <si>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</si>
  <si>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</si>
  <si>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</si>
  <si>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</si>
  <si>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</si>
  <si>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</si>
  <si>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</si>
  <si>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</si>
  <si>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</si>
  <si>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</si>
  <si>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</si>
  <si>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</si>
  <si>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</si>
  <si>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</si>
  <si>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</si>
  <si>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</si>
  <si>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</si>
  <si>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</si>
  <si>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</si>
  <si>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</si>
  <si>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</si>
  <si>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</si>
  <si>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</si>
  <si>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</si>
  <si>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</si>
  <si>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</si>
  <si>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</si>
  <si>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</si>
  <si>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</si>
  <si>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</si>
  <si>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</si>
  <si>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</si>
  <si>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</si>
  <si>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</si>
  <si>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</si>
  <si>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</si>
  <si>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</si>
  <si>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</si>
  <si>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</si>
  <si>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</si>
  <si>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</si>
  <si>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</si>
  <si>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</si>
  <si>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</si>
  <si>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</si>
  <si>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</si>
  <si>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</si>
  <si>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</si>
  <si>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</si>
  <si>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</si>
  <si>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</si>
  <si>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</si>
  <si>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</si>
  <si>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</si>
  <si>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</si>
  <si>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</si>
  <si>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</si>
  <si>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</si>
  <si>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</si>
  <si>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</si>
  <si>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</si>
  <si>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</si>
  <si>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</si>
  <si>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</si>
  <si>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</si>
  <si>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</si>
  <si>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</si>
  <si>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</si>
  <si>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</si>
  <si>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</si>
  <si>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</si>
  <si>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</si>
  <si>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</si>
  <si>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</si>
  <si>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</si>
  <si>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</si>
  <si>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</si>
  <si>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</si>
  <si>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</si>
  <si>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</si>
  <si>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</si>
  <si>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</si>
  <si>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</si>
  <si>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</si>
  <si>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</si>
  <si>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</si>
  <si>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</si>
  <si>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</si>
  <si>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</si>
  <si>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</si>
  <si>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</si>
  <si>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</si>
  <si>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</si>
  <si>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</si>
  <si>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</si>
  <si>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</si>
  <si>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</si>
  <si>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</si>
  <si>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</si>
  <si>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</si>
  <si>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</si>
  <si>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</si>
  <si>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</si>
  <si>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</si>
  <si>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</si>
  <si>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</si>
  <si>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</si>
  <si>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</si>
  <si>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</si>
  <si>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</si>
  <si>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</si>
  <si>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</si>
  <si>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</si>
  <si>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</si>
  <si>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</si>
  <si>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</si>
  <si>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</si>
  <si>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</si>
  <si>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</si>
  <si>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</si>
  <si>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</si>
  <si>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</si>
  <si>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</si>
  <si>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</si>
  <si>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</si>
  <si>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</si>
  <si>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</si>
  <si>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</si>
  <si>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</si>
  <si>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</si>
  <si>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</si>
  <si>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</si>
  <si>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</si>
  <si>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</si>
  <si>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</si>
  <si>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</si>
  <si>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</si>
  <si>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</si>
  <si>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</si>
  <si>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</si>
  <si>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</si>
  <si>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</si>
  <si>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</si>
  <si>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</si>
  <si>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</si>
  <si>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</si>
  <si>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</si>
  <si>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</si>
  <si>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</si>
  <si>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</si>
  <si>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</si>
  <si>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</si>
  <si>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</si>
  <si>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</si>
  <si>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</si>
  <si>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</si>
  <si>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</si>
  <si>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</si>
  <si>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</si>
  <si>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</si>
  <si>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</si>
  <si>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</si>
  <si>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</si>
  <si>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</si>
  <si>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</si>
  <si>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</si>
  <si>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</si>
  <si>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</si>
  <si>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</si>
  <si>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</si>
  <si>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</si>
  <si>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</si>
  <si>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</si>
  <si>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</si>
  <si>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</si>
  <si>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</si>
  <si>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</si>
  <si>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</si>
  <si>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</si>
  <si>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</si>
  <si>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</si>
  <si>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</si>
  <si>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</si>
  <si>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</si>
  <si>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</si>
  <si>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</si>
  <si>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</si>
  <si>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</si>
  <si>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</si>
  <si>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</si>
  <si>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</si>
  <si>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</si>
  <si>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</si>
  <si>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</si>
  <si>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</si>
  <si>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</si>
  <si>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</si>
  <si>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</si>
  <si>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</si>
  <si>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</si>
  <si>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</si>
  <si>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</si>
  <si>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</si>
  <si>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</si>
  <si>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</si>
  <si>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</si>
  <si>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</si>
  <si>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</si>
  <si>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</si>
  <si>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</si>
  <si>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</si>
  <si>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</si>
  <si>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</si>
  <si>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</si>
  <si>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</si>
  <si>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</si>
  <si>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</si>
  <si>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</si>
  <si>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</si>
  <si>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</si>
  <si>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</si>
  <si>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</si>
  <si>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</si>
  <si>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</si>
  <si>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</si>
  <si>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</si>
  <si>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</si>
  <si>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</si>
  <si>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</si>
  <si>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</si>
  <si>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</si>
  <si>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</si>
  <si>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</si>
  <si>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</si>
  <si>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</si>
  <si>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</si>
  <si>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</si>
  <si>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</si>
  <si>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</si>
  <si>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</si>
  <si>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</si>
  <si>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</si>
  <si>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</si>
  <si>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</si>
  <si>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</si>
  <si>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</si>
  <si>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</si>
  <si>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</si>
  <si>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</si>
  <si>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</si>
  <si>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</si>
  <si>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</si>
  <si>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</si>
  <si>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</si>
  <si>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</si>
  <si>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</si>
  <si>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</si>
  <si>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</si>
  <si>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</si>
  <si>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</si>
  <si>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</si>
  <si>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</si>
  <si>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</si>
  <si>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</si>
  <si>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</si>
  <si>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</si>
  <si>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</si>
  <si>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</si>
  <si>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</si>
  <si>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</si>
  <si>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</si>
  <si>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</si>
  <si>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</si>
  <si>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</si>
  <si>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</si>
  <si>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</si>
  <si>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</si>
  <si>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</si>
  <si>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</si>
  <si>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</si>
  <si>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</si>
  <si>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</si>
  <si>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</si>
  <si>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</si>
  <si>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</si>
  <si>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</si>
  <si>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</si>
  <si>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</si>
  <si>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</si>
  <si>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</si>
  <si>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</si>
  <si>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</si>
  <si>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</si>
  <si>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</si>
  <si>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</si>
  <si>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</si>
  <si>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</si>
  <si>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</si>
  <si>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</si>
  <si>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</si>
  <si>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</si>
  <si>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</si>
  <si>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</si>
  <si>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</si>
  <si>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</si>
  <si>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</si>
  <si>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</si>
  <si>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</si>
  <si>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</si>
  <si>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</si>
  <si>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</si>
  <si>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</si>
  <si>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</si>
  <si>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</si>
  <si>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</si>
  <si>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</si>
  <si>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</si>
  <si>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</si>
  <si>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</si>
  <si>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</si>
  <si>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</si>
  <si>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</si>
  <si>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</si>
  <si>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</si>
  <si>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</si>
  <si>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</si>
  <si>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</si>
  <si>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</si>
  <si>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</si>
  <si>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</si>
  <si>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</si>
  <si>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</si>
  <si>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</si>
  <si>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</si>
  <si>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</si>
  <si>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</si>
  <si>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</si>
  <si>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</si>
  <si>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</si>
  <si>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</si>
  <si>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</si>
  <si>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</si>
  <si>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</si>
  <si>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</si>
  <si>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</si>
  <si>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</si>
  <si>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</si>
  <si>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</si>
  <si>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</si>
  <si>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</si>
  <si>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</si>
  <si>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</si>
  <si>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</si>
  <si>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</si>
  <si>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</si>
  <si>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</si>
  <si>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</si>
  <si>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</si>
  <si>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</si>
  <si>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</si>
  <si>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</si>
  <si>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</si>
  <si>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</si>
  <si>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</si>
  <si>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</si>
  <si>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</si>
  <si>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</si>
  <si>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</si>
  <si>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</si>
  <si>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</si>
  <si>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</si>
  <si>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</si>
  <si>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</si>
  <si>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</si>
  <si>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</si>
  <si>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</si>
  <si>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</si>
  <si>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</si>
  <si>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</si>
  <si>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</si>
  <si>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</si>
  <si>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</si>
  <si>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</si>
  <si>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</si>
  <si>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</si>
  <si>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</si>
  <si>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</si>
  <si>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</si>
  <si>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</si>
  <si>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</si>
  <si>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</si>
  <si>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</si>
  <si>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</si>
  <si>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</si>
  <si>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</si>
  <si>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</si>
  <si>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</si>
  <si>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</si>
  <si>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</si>
  <si>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</si>
  <si>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</si>
  <si>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</si>
  <si>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</si>
  <si>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</si>
  <si>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</si>
  <si>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</si>
  <si>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</si>
  <si>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</si>
  <si>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</si>
  <si>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</si>
  <si>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</si>
  <si>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</si>
  <si>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</si>
  <si>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</si>
  <si>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</si>
  <si>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</si>
  <si>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</si>
  <si>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</si>
  <si>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</si>
  <si>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</si>
  <si>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</si>
  <si>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</si>
  <si>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</si>
  <si>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</si>
  <si>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</si>
  <si>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</si>
  <si>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</si>
  <si>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</si>
  <si>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</si>
  <si>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</si>
  <si>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</si>
  <si>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</si>
  <si>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</si>
  <si>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</si>
  <si>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</si>
  <si>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</si>
  <si>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</si>
  <si>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</si>
  <si>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</si>
  <si>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</si>
  <si>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</si>
  <si>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</si>
  <si>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</si>
  <si>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</si>
  <si>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</si>
  <si>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</si>
  <si>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</si>
  <si>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</si>
  <si>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</si>
  <si>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</si>
  <si>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</si>
  <si>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</si>
  <si>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</si>
  <si>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</si>
  <si>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</si>
  <si>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</si>
  <si>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</si>
  <si>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</si>
  <si>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</si>
  <si>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</si>
  <si>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</si>
  <si>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</si>
  <si>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</si>
  <si>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</si>
  <si>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</si>
  <si>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</si>
  <si>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</si>
  <si>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</si>
  <si>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</si>
  <si>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</si>
  <si>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</si>
  <si>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</si>
  <si>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</si>
  <si>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</si>
  <si>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</si>
  <si>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</si>
  <si>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</si>
  <si>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</si>
  <si>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</si>
  <si>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</si>
  <si>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</si>
  <si>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</si>
  <si>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</si>
  <si>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</si>
  <si>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</si>
  <si>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</si>
  <si>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</si>
  <si>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</si>
  <si>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</si>
  <si>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</si>
  <si>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</si>
  <si>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</si>
  <si>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</si>
  <si>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</si>
  <si>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</si>
  <si>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</si>
  <si>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</si>
  <si>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</si>
  <si>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</si>
  <si>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</si>
  <si>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</si>
  <si>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</si>
  <si>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</si>
  <si>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</si>
  <si>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</si>
  <si>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</si>
  <si>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</si>
  <si>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</si>
  <si>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</si>
  <si>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</si>
  <si>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</si>
  <si>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</si>
  <si>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</si>
  <si>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</si>
  <si>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</si>
  <si>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</si>
  <si>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</si>
  <si>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</si>
  <si>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</si>
  <si>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</si>
  <si>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</si>
  <si>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</si>
  <si>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</si>
  <si>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</si>
  <si>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</si>
  <si>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</si>
  <si>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</si>
  <si>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</si>
  <si>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</si>
  <si>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</si>
  <si>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</si>
  <si>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</si>
  <si>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</si>
  <si>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</si>
  <si>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</si>
  <si>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</si>
  <si>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</si>
  <si>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</si>
  <si>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</si>
  <si>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</si>
  <si>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</si>
  <si>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</si>
  <si>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</si>
  <si>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</si>
  <si>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</si>
  <si>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</si>
  <si>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</si>
  <si>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</si>
  <si>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</si>
  <si>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</si>
  <si>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</si>
  <si>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</si>
  <si>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</si>
  <si>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</si>
  <si>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</si>
  <si>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</si>
  <si>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</si>
  <si>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</si>
  <si>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</si>
  <si>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</si>
  <si>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</si>
  <si>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</si>
  <si>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</si>
  <si>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</si>
  <si>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</si>
  <si>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</si>
  <si>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</si>
  <si>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</si>
  <si>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</si>
  <si>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</si>
  <si>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</si>
  <si>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</si>
  <si>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</si>
  <si>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</si>
  <si>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</si>
  <si>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</si>
  <si>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</si>
  <si>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</si>
  <si>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</si>
  <si>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</si>
  <si>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</si>
  <si>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</si>
  <si>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</si>
  <si>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</si>
  <si>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</si>
  <si>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</si>
  <si>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</si>
  <si>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</si>
  <si>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</si>
  <si>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</si>
  <si>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</si>
  <si>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MATRIZ</t>
  </si>
  <si>
    <t>2244-6</t>
  </si>
  <si>
    <t>MATTEL DO BRASI</t>
  </si>
  <si>
    <t>MARLON MARQUES</t>
  </si>
  <si>
    <t>EXPRESSO_250</t>
  </si>
  <si>
    <t>CTE NORMAL</t>
  </si>
  <si>
    <t>CAXIAS DO SUL - RS</t>
  </si>
  <si>
    <t>N/D</t>
  </si>
  <si>
    <t>TR OLM LTDA</t>
  </si>
  <si>
    <t>203877-1</t>
  </si>
  <si>
    <t>SAMSONITE BRASI</t>
  </si>
  <si>
    <t>EXPRESSO_200</t>
  </si>
  <si>
    <t>BALNEARIO CAMBORIU - SC</t>
  </si>
  <si>
    <t>RAFAEL VICENTE</t>
  </si>
  <si>
    <t>Itajai-Sc X Caxias Do Sul-RsVan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</si>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</sst>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4534.09</c:v>
                </c:pt>
                <c:pt idx="1">
                  <c:v>274.06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3597.7228000000005</c:v>
                </c:pt>
                <c:pt idx="1">
                  <c:v>169.77520000000001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4534.09</c:v>
                </c:pt>
                <c:pt idx="1">
                  <c:v>274.06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3597.7228000000005</c:v>
                </c:pt>
                <c:pt idx="1">
                  <c:v>169.77520000000001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0493761574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652" count="8000">
        <n v="302467"/>
        <n v="30265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6T00:00:00"/>
    </cacheField>
    <cacheField name="DATA" numFmtId="14">
      <sharedItems containsNonDate="0" containsDate="1" containsString="0" containsBlank="1" minDate="2026-09-24T00:00:00" maxDate="2026-09-2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TTEL DO BRASI"/>
        <s v="SAMSONITE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372.59" maxValue="47704.58"/>
    </cacheField>
    <cacheField name="SERVICO" numFmtId="0">
      <sharedItems containsBlank="1" count="27">
        <s v="EXPRESSO_250"/>
        <s v="EXPRESSO_20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74.06" maxValue="4534.09"/>
    </cacheField>
    <cacheField name="VOLUMES" numFmtId="0">
      <sharedItems containsString="0" containsBlank="1" containsNumber="1" containsInteger="1" minValue="25" maxValue="130"/>
    </cacheField>
    <cacheField name="PESO" numFmtId="0">
      <sharedItems containsString="0" containsBlank="1" containsNumber="1" minValue="307.74" maxValue="467.27"/>
    </cacheField>
    <cacheField name="RESP. COLETA" numFmtId="0">
      <sharedItems containsBlank="1"/>
    </cacheField>
    <cacheField name="CUSTO COLETA" numFmtId="0">
      <sharedItems containsString="0" containsBlank="1" containsNumber="1" minValue="0" maxValue="18.9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6.59" maxValue="544.0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.69" maxValue="23.85"/>
    </cacheField>
    <cacheField name="OUTROS" numFmtId="0">
      <sharedItems containsString="0" containsBlank="1" containsNumber="1" minValue="5.7" maxValue="11.13"/>
    </cacheField>
    <cacheField name="C.TOTAL" numFmtId="0">
      <sharedItems containsString="0" containsBlank="1" containsNumber="1" minValue="1566.34" maxValue="1589.66"/>
    </cacheField>
    <cacheField name="RECEITA" numFmtId="0">
      <sharedItems containsString="0" containsBlank="1" containsNumber="1" minValue="-1315.6" maxValue="2967.75"/>
    </cacheField>
    <cacheField name="IMPOSTO" numFmtId="0">
      <sharedItems containsString="0" containsBlank="1" containsNumber="1" minValue="71.260000000000005" maxValue="1178.8599999999999"/>
    </cacheField>
    <cacheField name="RESULTADO" numFmtId="0">
      <sharedItems containsString="0" containsBlank="1" containsNumber="1" minValue="-1386.86" maxValue="1788.8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386.86" maxValue="1788.89"/>
    </cacheField>
    <cacheField name="MARGEM" numFmtId="10">
      <sharedItems containsString="0" containsBlank="1" containsNumber="1" minValue="-5.0604000000000005" maxValue="0.3945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m/>
    <s v="2244-6"/>
    <x v="0"/>
    <s v="MARLON MARQUES"/>
    <n v="47704.58"/>
    <x v="0"/>
    <s v="CTE NORMAL"/>
    <s v="CAXIAS DO SUL - RS"/>
    <n v="4534.09"/>
    <n v="130"/>
    <n v="307.74"/>
    <s v="N/D"/>
    <n v="0"/>
    <s v="N/D"/>
    <n v="0"/>
    <s v="TR OLM LTDA"/>
    <n v="0"/>
    <n v="544.09"/>
    <n v="0"/>
    <n v="0"/>
    <n v="23.85"/>
    <n v="5.7"/>
    <n v="1566.34"/>
    <n v="2967.75"/>
    <n v="1178.8599999999999"/>
    <n v="1788.89"/>
    <n v="0"/>
    <n v="1788.89"/>
    <n v="0.39450000000000002"/>
    <m/>
  </r>
  <r>
    <x v="1"/>
    <s v="MATRIZ"/>
    <d v="2026-09-25T00:00:00"/>
    <d v="2026-09-25T00:00:00"/>
    <m/>
    <s v="203877-1"/>
    <x v="1"/>
    <s v="MARLON MARQUES"/>
    <n v="11372.59"/>
    <x v="1"/>
    <s v="CTE NORMAL"/>
    <s v="BALNEARIO CAMBORIU - SC"/>
    <n v="274.06"/>
    <n v="25"/>
    <n v="467.27"/>
    <s v="RAFAEL VICENTE"/>
    <n v="18.95"/>
    <s v="N/D"/>
    <n v="0"/>
    <s v="TR OLM LTDA"/>
    <n v="0"/>
    <n v="46.59"/>
    <n v="0"/>
    <n v="0"/>
    <n v="5.69"/>
    <n v="11.13"/>
    <n v="1589.66"/>
    <n v="-1315.6"/>
    <n v="71.260000000000005"/>
    <n v="-1386.86"/>
    <n v="0"/>
    <n v="-1386.86"/>
    <n v="-5.0604000000000005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1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95"/>
    </i>
    <i r="1">
      <x v="7998"/>
    </i>
    <i>
      <x v="67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1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95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4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3" s="1" nd="1"/>
        <i x="6" s="1" nd="1"/>
        <i x="22" s="1" nd="1"/>
        <i x="21" s="1" nd="1"/>
        <i x="12" s="1" nd="1"/>
        <i x="18" s="1" nd="1"/>
        <i x="20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3" totalsRowShown="0" headerRowDxfId="92" dataDxfId="90" headerRowBorderDxfId="91" tableBorderDxfId="89" totalsRowBorderDxfId="88">
  <autoFilter ref="A1:D393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302467</v>
      </c>
      <c r="B2" s="12" t="s">
        <v>614</v>
      </c>
      <c r="C2" s="14">
        <v>46289</v>
      </c>
      <c r="D2" s="14">
        <v>46289</v>
      </c>
      <c r="E2" s="12"/>
      <c r="F2" s="15" t="s">
        <v>615</v>
      </c>
      <c r="G2" s="15" t="s">
        <v>616</v>
      </c>
      <c r="H2" s="15" t="s">
        <v>617</v>
      </c>
      <c r="I2" s="16">
        <v>47704.58</v>
      </c>
      <c r="J2" s="15" t="s">
        <v>618</v>
      </c>
      <c r="K2" s="15" t="s">
        <v>619</v>
      </c>
      <c r="L2" s="15" t="s">
        <v>620</v>
      </c>
      <c r="M2" s="15">
        <v>4534.09</v>
      </c>
      <c r="N2" s="15">
        <v>130</v>
      </c>
      <c r="O2" s="16">
        <v>307.74</v>
      </c>
      <c r="P2" s="15" t="s">
        <v>621</v>
      </c>
      <c r="Q2" s="15">
        <v>0</v>
      </c>
      <c r="R2" s="15" t="s">
        <v>621</v>
      </c>
      <c r="S2" s="15">
        <v>0</v>
      </c>
      <c r="T2" s="15" t="s">
        <v>622</v>
      </c>
      <c r="U2" s="15">
        <v>0</v>
      </c>
      <c r="V2" s="15">
        <v>544.09</v>
      </c>
      <c r="W2" s="15">
        <v>0</v>
      </c>
      <c r="X2" s="15">
        <v>0</v>
      </c>
      <c r="Y2" s="15">
        <v>23.85</v>
      </c>
      <c r="Z2" s="15">
        <v>5.7</v>
      </c>
      <c r="AA2" s="15">
        <v>1566.34</v>
      </c>
      <c r="AB2" s="15">
        <v>2967.75</v>
      </c>
      <c r="AC2" s="15">
        <v>1178.8599999999999</v>
      </c>
      <c r="AD2" s="15">
        <v>1788.89</v>
      </c>
      <c r="AE2" s="15">
        <v>0</v>
      </c>
      <c r="AF2" s="15">
        <v>1788.89</v>
      </c>
      <c r="AG2" s="17">
        <v>0.39450000000000002</v>
      </c>
      <c r="AH2" s="15"/>
    </row>
    <row r="3" spans="1:34" s="1" customFormat="1" ht="12" customHeight="1" x14ac:dyDescent="0.3">
      <c r="A3" s="13">
        <v>302652</v>
      </c>
      <c r="B3" s="12" t="s">
        <v>614</v>
      </c>
      <c r="C3" s="14">
        <v>46290</v>
      </c>
      <c r="D3" s="14">
        <v>46290</v>
      </c>
      <c r="E3" s="12"/>
      <c r="F3" s="15" t="s">
        <v>623</v>
      </c>
      <c r="G3" s="15" t="s">
        <v>624</v>
      </c>
      <c r="H3" s="15" t="s">
        <v>617</v>
      </c>
      <c r="I3" s="16">
        <v>11372.59</v>
      </c>
      <c r="J3" s="15" t="s">
        <v>625</v>
      </c>
      <c r="K3" s="15" t="s">
        <v>619</v>
      </c>
      <c r="L3" s="15" t="s">
        <v>626</v>
      </c>
      <c r="M3" s="16">
        <v>274.06</v>
      </c>
      <c r="N3" s="15">
        <v>25</v>
      </c>
      <c r="O3" s="16">
        <v>467.27</v>
      </c>
      <c r="P3" s="15" t="s">
        <v>627</v>
      </c>
      <c r="Q3" s="15">
        <v>18.95</v>
      </c>
      <c r="R3" s="15" t="s">
        <v>621</v>
      </c>
      <c r="S3" s="15">
        <v>0</v>
      </c>
      <c r="T3" s="15" t="s">
        <v>622</v>
      </c>
      <c r="U3" s="15">
        <v>0</v>
      </c>
      <c r="V3" s="15">
        <v>46.59</v>
      </c>
      <c r="W3" s="15">
        <v>0</v>
      </c>
      <c r="X3" s="15">
        <v>0</v>
      </c>
      <c r="Y3" s="15">
        <v>5.69</v>
      </c>
      <c r="Z3" s="15">
        <v>11.13</v>
      </c>
      <c r="AA3" s="16">
        <v>1589.66</v>
      </c>
      <c r="AB3" s="16">
        <v>-1315.6</v>
      </c>
      <c r="AC3" s="15">
        <v>71.260000000000005</v>
      </c>
      <c r="AD3" s="15">
        <v>-1386.86</v>
      </c>
      <c r="AE3" s="15">
        <v>0</v>
      </c>
      <c r="AF3" s="15">
        <v>-1386.86</v>
      </c>
      <c r="AG3" s="17">
        <v>-5.0604000000000005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4808.1500000000005</v>
      </c>
      <c r="F3" s="93"/>
      <c r="G3" s="94"/>
      <c r="H3" s="95">
        <f>'Resumo Detalhado'!C2</f>
        <v>775.01</v>
      </c>
      <c r="I3" s="96"/>
      <c r="J3" s="97">
        <f>E3/H3</f>
        <v>6.2039844647165854</v>
      </c>
      <c r="K3" s="98"/>
      <c r="L3" s="99"/>
      <c r="M3" s="138" t="s">
        <v>62</v>
      </c>
      <c r="N3" s="93"/>
      <c r="O3" s="94"/>
      <c r="P3" s="135">
        <v>1200</v>
      </c>
      <c r="Q3" s="136"/>
      <c r="R3" s="137"/>
      <c r="S3" s="103">
        <f>MIN(H3/P3,1)</f>
        <v>0.64584166666666665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2518.9499999999998</v>
      </c>
      <c r="F7" s="109"/>
      <c r="G7" s="109"/>
      <c r="H7" s="109"/>
      <c r="I7" s="109"/>
      <c r="J7" s="109">
        <f>E7/H3</f>
        <v>3.2502161262435321</v>
      </c>
      <c r="K7" s="109"/>
      <c r="L7" s="109"/>
      <c r="M7" s="110">
        <f>E7/E3</f>
        <v>0.52389172550773155</v>
      </c>
      <c r="N7" s="110"/>
      <c r="O7" s="110"/>
      <c r="P7" s="109">
        <f>E11+K11+Q11+E15+K15+Q15+E19+H19+K19</f>
        <v>4309.9560000000001</v>
      </c>
      <c r="Q7" s="109"/>
      <c r="R7" s="109"/>
      <c r="S7" s="109">
        <f>P7/H3</f>
        <v>5.5611617914607558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2500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2500</v>
      </c>
      <c r="L11" s="94"/>
      <c r="M11" s="38"/>
      <c r="N11" s="92">
        <f>K11/H3</f>
        <v>3.2257648288409184</v>
      </c>
      <c r="O11" s="94"/>
      <c r="P11" s="38"/>
      <c r="Q11" s="92">
        <f>'Resumo Detalhado'!D2</f>
        <v>18.95</v>
      </c>
      <c r="R11" s="94"/>
      <c r="S11" s="38"/>
      <c r="T11" s="92">
        <f>Q11/H3</f>
        <v>2.4451297402614158E-2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590.68000000000006</v>
      </c>
      <c r="F15" s="113"/>
      <c r="G15" s="113"/>
      <c r="H15" s="113"/>
      <c r="I15" s="114"/>
      <c r="J15" s="38"/>
      <c r="K15" s="116">
        <f>'Resumo Detalhado'!K2+'Resumo Detalhado'!L2</f>
        <v>769.30400000000009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29.540000000000003</v>
      </c>
      <c r="F19" s="119"/>
      <c r="G19" s="38"/>
      <c r="H19" s="106">
        <f>'Resumo Detalhado'!J2</f>
        <v>16.830000000000002</v>
      </c>
      <c r="I19" s="108"/>
      <c r="J19" s="38"/>
      <c r="K19" s="106">
        <f>'Resumo Detalhado'!L2</f>
        <v>384.65200000000004</v>
      </c>
      <c r="L19" s="108"/>
      <c r="M19" s="38"/>
      <c r="N19" s="112" t="s">
        <v>628</v>
      </c>
      <c r="O19" s="113"/>
      <c r="P19" s="113"/>
      <c r="Q19" s="113"/>
      <c r="R19" s="119"/>
      <c r="S19" s="112">
        <f>_xlfn.XLOOKUP(N19,Target!C:C,Target!D:D)</f>
        <v>2600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3767.4980000000005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0.7835649886130841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629</v>
      </c>
      <c r="F1" s="29"/>
    </row>
    <row r="2" spans="1:18" x14ac:dyDescent="0.3">
      <c r="B2" s="29">
        <f>SUM(B6:B5000)</f>
        <v>4808.1500000000005</v>
      </c>
      <c r="C2" s="29">
        <f>SUM(C6:C5000)</f>
        <v>775.01</v>
      </c>
      <c r="D2" s="29">
        <f>SUM(D6:D5000)</f>
        <v>18.95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590.68000000000006</v>
      </c>
      <c r="I2" s="29">
        <f t="shared" si="0"/>
        <v>29.540000000000003</v>
      </c>
      <c r="J2" s="29">
        <f t="shared" si="0"/>
        <v>16.830000000000002</v>
      </c>
      <c r="K2" s="29">
        <f t="shared" si="0"/>
        <v>384.65200000000004</v>
      </c>
      <c r="L2" s="29">
        <f t="shared" si="0"/>
        <v>384.65200000000004</v>
      </c>
      <c r="M2" s="29">
        <f t="shared" si="0"/>
        <v>0</v>
      </c>
      <c r="N2" s="29">
        <f t="shared" si="0"/>
        <v>3767.4980000000005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302467</v>
      </c>
      <c r="B6" s="140">
        <v>4534.09</v>
      </c>
      <c r="C6" s="141">
        <v>307.74</v>
      </c>
      <c r="D6" s="140">
        <v>0</v>
      </c>
      <c r="E6" s="140">
        <v>0</v>
      </c>
      <c r="F6" s="140">
        <v>0</v>
      </c>
      <c r="G6" s="142">
        <v>0</v>
      </c>
      <c r="H6" s="140">
        <v>544.09</v>
      </c>
      <c r="I6" s="140">
        <v>23.85</v>
      </c>
      <c r="J6" s="140">
        <v>5.7</v>
      </c>
      <c r="K6" s="140">
        <v>362.72720000000004</v>
      </c>
      <c r="L6" s="140">
        <v>362.72720000000004</v>
      </c>
      <c r="M6" s="140">
        <v>0</v>
      </c>
      <c r="N6" s="140">
        <v>3597.7228000000005</v>
      </c>
      <c r="O6" s="142">
        <v>0.79348288190132976</v>
      </c>
      <c r="Q6"/>
    </row>
    <row r="7" spans="1:18" s="31" customFormat="1" x14ac:dyDescent="0.3">
      <c r="A7" s="139" t="s">
        <v>624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302652</v>
      </c>
      <c r="B8" s="140">
        <v>274.06</v>
      </c>
      <c r="C8" s="141">
        <v>467.27</v>
      </c>
      <c r="D8" s="140">
        <v>18.95</v>
      </c>
      <c r="E8" s="140">
        <v>0</v>
      </c>
      <c r="F8" s="140">
        <v>0</v>
      </c>
      <c r="G8" s="142">
        <v>6.9145442603809379E-2</v>
      </c>
      <c r="H8" s="140">
        <v>46.59</v>
      </c>
      <c r="I8" s="140">
        <v>5.69</v>
      </c>
      <c r="J8" s="140">
        <v>11.13</v>
      </c>
      <c r="K8" s="140">
        <v>21.924800000000001</v>
      </c>
      <c r="L8" s="140">
        <v>21.924800000000001</v>
      </c>
      <c r="M8" s="140">
        <v>0</v>
      </c>
      <c r="N8" s="140">
        <v>169.77520000000001</v>
      </c>
      <c r="O8" s="142">
        <v>0.61948186528497418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629</v>
      </c>
    </row>
    <row r="2" spans="1:4" x14ac:dyDescent="0.3">
      <c r="B2" s="29">
        <f>SUM(B6:B5000)</f>
        <v>274.06</v>
      </c>
      <c r="C2" s="29">
        <f>SUM(C6:C5000)</f>
        <v>169.77520000000001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616</v>
      </c>
      <c r="B5" s="10">
        <v>4534.09</v>
      </c>
      <c r="C5" s="10">
        <v>3597.7228000000005</v>
      </c>
    </row>
    <row r="6" spans="1:4" x14ac:dyDescent="0.3">
      <c r="A6" s="139" t="s">
        <v>624</v>
      </c>
      <c r="B6" s="140">
        <v>274.06</v>
      </c>
      <c r="C6" s="140">
        <v>169.77520000000001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3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2026-10-01T12:43:13Z</dcterms:modified>
  <cp:category/>
  <cp:contentStatus/>
</cp:coreProperties>
</file>