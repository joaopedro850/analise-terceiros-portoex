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9C1C70A-B57A-4DB8-93FD-8B35C9A8D89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<sst xmlns="http://schemas.openxmlformats.org/spreadsheetml/2006/main" count="900" uniqueCount="623">
  <si>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</si>
  <si>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</si>
  <si>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</si>
  <si>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</si>
  <si>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</si>
  <si>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</si>
  <si>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</si>
  <si>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</si>
  <si>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</si>
  <si>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</si>
  <si>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</si>
  <si>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</si>
  <si>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</si>
  <si>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</si>
  <si>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</si>
  <si>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</si>
  <si>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</si>
  <si>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</si>
  <si>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</si>
  <si>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</si>
  <si>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</si>
  <si>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</si>
  <si>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</si>
  <si>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</si>
  <si>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</si>
  <si>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</si>
  <si>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</si>
  <si>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</si>
  <si>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</si>
  <si>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</si>
  <si>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</si>
  <si>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</si>
  <si>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</si>
  <si>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</si>
  <si>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</si>
  <si>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</si>
  <si>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</si>
  <si>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</si>
  <si>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</si>
  <si>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</si>
  <si>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</si>
  <si>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</si>
  <si>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</si>
  <si>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</si>
  <si>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</si>
  <si>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</si>
  <si>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</si>
  <si>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</si>
  <si>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</si>
  <si>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</si>
  <si>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</si>
  <si>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</si>
  <si>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</si>
  <si>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</si>
  <si>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</si>
  <si>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</si>
  <si>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</si>
  <si>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</si>
  <si>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</si>
  <si>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</si>
  <si>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</si>
  <si>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</si>
  <si>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</si>
  <si>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</si>
  <si>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</si>
  <si>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</si>
  <si>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</si>
  <si>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</si>
  <si>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</si>
  <si>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</si>
  <si>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</si>
  <si>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</si>
  <si>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</si>
  <si>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</si>
  <si>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</si>
  <si>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</si>
  <si>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</si>
  <si>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</si>
  <si>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</si>
  <si>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</si>
  <si>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</si>
  <si>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</si>
  <si>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</si>
  <si>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</si>
  <si>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</si>
  <si>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</si>
  <si>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</si>
  <si>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</si>
  <si>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</si>
  <si>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</si>
  <si>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</si>
  <si>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</si>
  <si>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</si>
  <si>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</si>
  <si>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</si>
  <si>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</si>
  <si>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</si>
  <si>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</si>
  <si>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</si>
  <si>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</si>
  <si>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</si>
  <si>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</si>
  <si>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</si>
  <si>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</si>
  <si>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</si>
  <si>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</si>
  <si>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</si>
  <si>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</si>
  <si>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</si>
  <si>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</si>
  <si>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</si>
  <si>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</si>
  <si>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</si>
  <si>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</si>
  <si>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</si>
  <si>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</si>
  <si>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</si>
  <si>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</si>
  <si>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</si>
  <si>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</si>
  <si>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</si>
  <si>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</si>
  <si>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</si>
  <si>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</si>
  <si>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</si>
  <si>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</si>
  <si>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</si>
  <si>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</si>
  <si>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</si>
  <si>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</si>
  <si>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</si>
  <si>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</si>
  <si>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</si>
  <si>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</si>
  <si>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</si>
  <si>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</si>
  <si>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</si>
  <si>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</si>
  <si>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</si>
  <si>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</si>
  <si>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</si>
  <si>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</si>
  <si>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</si>
  <si>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</si>
  <si>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</si>
  <si>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</si>
  <si>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</si>
  <si>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</si>
  <si>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</si>
  <si>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</si>
  <si>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</si>
  <si>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</si>
  <si>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</si>
  <si>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</si>
  <si>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</si>
  <si>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</si>
  <si>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</si>
  <si>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</si>
  <si>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</si>
  <si>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</si>
  <si>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</si>
  <si>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</si>
  <si>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</si>
  <si>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</si>
  <si>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</si>
  <si>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</si>
  <si>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</si>
  <si>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</si>
  <si>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</si>
  <si>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</si>
  <si>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</si>
  <si>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</si>
  <si>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</si>
  <si>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</si>
  <si>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</si>
  <si>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</si>
  <si>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</si>
  <si>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</si>
  <si>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</si>
  <si>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</si>
  <si>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</si>
  <si>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</si>
  <si>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</si>
  <si>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</si>
  <si>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</si>
  <si>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</si>
  <si>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</si>
  <si>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</si>
  <si>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</si>
  <si>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</si>
  <si>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</si>
  <si>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</si>
  <si>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</si>
  <si>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</si>
  <si>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</si>
  <si>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</si>
  <si>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</si>
  <si>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</si>
  <si>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</si>
  <si>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</si>
  <si>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</si>
  <si>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</si>
  <si>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</si>
  <si>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</si>
  <si>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</si>
  <si>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</si>
  <si>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</si>
  <si>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</si>
  <si>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</si>
  <si>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</si>
  <si>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</si>
  <si>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</si>
  <si>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</si>
  <si>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</si>
  <si>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</si>
  <si>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</si>
  <si>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</si>
  <si>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</si>
  <si>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</si>
  <si>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</si>
  <si>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</si>
  <si>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</si>
  <si>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</si>
  <si>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</si>
  <si>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</si>
  <si>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</si>
  <si>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</si>
  <si>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</si>
  <si>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</si>
  <si>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</si>
  <si>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</si>
  <si>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</si>
  <si>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</si>
  <si>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</si>
  <si>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</si>
  <si>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</si>
  <si>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</si>
  <si>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</si>
  <si>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</si>
  <si>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</si>
  <si>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</si>
  <si>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</si>
  <si>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</si>
  <si>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</si>
  <si>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</si>
  <si>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</si>
  <si>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</si>
  <si>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</si>
  <si>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</si>
  <si>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</si>
  <si>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</si>
  <si>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</si>
  <si>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</si>
  <si>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</si>
  <si>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</si>
  <si>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</si>
  <si>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</si>
  <si>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</si>
  <si>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</si>
  <si>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</si>
  <si>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</si>
  <si>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</si>
  <si>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</si>
  <si>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</si>
  <si>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</si>
  <si>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</si>
  <si>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</si>
  <si>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</si>
  <si>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</si>
  <si>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</si>
  <si>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</si>
  <si>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</si>
  <si>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</si>
  <si>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</si>
  <si>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</si>
  <si>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</si>
  <si>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</si>
  <si>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</si>
  <si>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</si>
  <si>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</si>
  <si>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</si>
  <si>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</si>
  <si>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</si>
  <si>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</si>
  <si>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</si>
  <si>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</si>
  <si>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</si>
  <si>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</si>
  <si>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</si>
  <si>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</si>
  <si>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</si>
  <si>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</si>
  <si>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</si>
  <si>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</si>
  <si>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</si>
  <si>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</si>
  <si>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</si>
  <si>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</si>
  <si>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</si>
  <si>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</si>
  <si>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</si>
  <si>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</si>
  <si>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</si>
  <si>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</si>
  <si>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</si>
  <si>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</si>
  <si>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</si>
  <si>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</si>
  <si>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</si>
  <si>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</si>
  <si>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</si>
  <si>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</si>
  <si>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</si>
  <si>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</si>
  <si>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</si>
  <si>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</si>
  <si>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</si>
  <si>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</si>
  <si>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</si>
  <si>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</si>
  <si>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</si>
  <si>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</si>
  <si>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</si>
  <si>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</si>
  <si>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</si>
  <si>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</si>
  <si>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</si>
  <si>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</si>
  <si>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</si>
  <si>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</si>
  <si>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</si>
  <si>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</si>
  <si>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</si>
  <si>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</si>
  <si>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</si>
  <si>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</si>
  <si>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</si>
  <si>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</si>
  <si>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</si>
  <si>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</si>
  <si>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</si>
  <si>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</si>
  <si>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</si>
  <si>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</si>
  <si>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</si>
  <si>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</si>
  <si>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</si>
  <si>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</si>
  <si>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</si>
  <si>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</si>
  <si>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</si>
  <si>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</si>
  <si>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</si>
  <si>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</si>
  <si>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</si>
  <si>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</si>
  <si>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</si>
  <si>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</si>
  <si>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</si>
  <si>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</si>
  <si>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</si>
  <si>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</si>
  <si>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</si>
  <si>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</si>
  <si>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</si>
  <si>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</si>
  <si>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</si>
  <si>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</si>
  <si>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</si>
  <si>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</si>
  <si>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</si>
  <si>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</si>
  <si>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</si>
  <si>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</si>
  <si>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</si>
  <si>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</si>
  <si>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</si>
  <si>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</si>
  <si>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</si>
  <si>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</si>
  <si>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</si>
  <si>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</si>
  <si>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</si>
  <si>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</si>
  <si>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</si>
  <si>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</si>
  <si>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</si>
  <si>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</si>
  <si>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</si>
  <si>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</si>
  <si>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</si>
  <si>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</si>
  <si>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</si>
  <si>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</si>
  <si>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</si>
  <si>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</si>
  <si>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</si>
  <si>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</si>
  <si>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</si>
  <si>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</si>
  <si>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</si>
  <si>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</si>
  <si>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</si>
  <si>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</si>
  <si>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</si>
  <si>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</si>
  <si>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</si>
  <si>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</si>
  <si>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</si>
  <si>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</si>
  <si>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</si>
  <si>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</si>
  <si>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</si>
  <si>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</si>
  <si>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</si>
  <si>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</si>
  <si>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</si>
  <si>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</si>
  <si>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</si>
  <si>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</si>
  <si>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</si>
  <si>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</si>
  <si>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</si>
  <si>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</si>
  <si>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</si>
  <si>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</si>
  <si>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</si>
  <si>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</si>
  <si>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</si>
  <si>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</si>
  <si>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</si>
  <si>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</si>
  <si>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</si>
  <si>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</si>
  <si>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</si>
  <si>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</si>
  <si>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</si>
  <si>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</si>
  <si>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</si>
  <si>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</si>
  <si>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</si>
  <si>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</si>
  <si>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</si>
  <si>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</si>
  <si>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</si>
  <si>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</si>
  <si>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</si>
  <si>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</si>
  <si>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</si>
  <si>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</si>
  <si>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</si>
  <si>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</si>
  <si>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</si>
  <si>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</si>
  <si>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</si>
  <si>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</si>
  <si>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</si>
  <si>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</si>
  <si>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</si>
  <si>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</si>
  <si>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</si>
  <si>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</si>
  <si>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</si>
  <si>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</si>
  <si>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</si>
  <si>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</si>
  <si>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</si>
  <si>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</si>
  <si>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</si>
  <si>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</si>
  <si>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</si>
  <si>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</si>
  <si>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</si>
  <si>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</si>
  <si>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</si>
  <si>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</si>
  <si>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</si>
  <si>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</si>
  <si>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</si>
  <si>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</si>
  <si>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</si>
  <si>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</si>
  <si>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</si>
  <si>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</si>
  <si>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</si>
  <si>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</si>
  <si>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</si>
  <si>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</si>
  <si>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</si>
  <si>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</si>
  <si>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</si>
  <si>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</si>
  <si>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</si>
  <si>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</si>
  <si>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</si>
  <si>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</si>
  <si>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</si>
  <si>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</si>
  <si>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</si>
  <si>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</si>
  <si>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</si>
  <si>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</si>
  <si>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</si>
  <si>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</si>
  <si>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</si>
  <si>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</si>
  <si>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</si>
  <si>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</si>
  <si>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</si>
  <si>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</si>
  <si>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</si>
  <si>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</si>
  <si>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</si>
  <si>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</si>
  <si>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</si>
  <si>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</si>
  <si>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</si>
  <si>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</si>
  <si>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</si>
  <si>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</si>
  <si>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</si>
  <si>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</si>
  <si>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</si>
  <si>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</si>
  <si>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</si>
  <si>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</si>
  <si>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</si>
  <si>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</si>
  <si>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</si>
  <si>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</si>
  <si>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</si>
  <si>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</si>
  <si>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</si>
  <si>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</si>
  <si>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</si>
  <si>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</si>
  <si>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</si>
  <si>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</si>
  <si>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</si>
  <si>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</si>
  <si>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</si>
  <si>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</si>
  <si>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</si>
  <si>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</si>
  <si>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</si>
  <si>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</si>
  <si>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</si>
  <si>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</si>
  <si>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</si>
  <si>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</si>
  <si>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</si>
  <si>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</si>
  <si>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</si>
  <si>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</si>
  <si>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</si>
  <si>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</si>
  <si>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</si>
  <si>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</si>
  <si>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</si>
  <si>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</si>
  <si>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</si>
  <si>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</si>
  <si>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</si>
  <si>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</si>
  <si>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</si>
  <si>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</si>
  <si>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</si>
  <si>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</si>
  <si>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</si>
  <si>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</si>
  <si>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</si>
  <si>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</si>
  <si>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</si>
  <si>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</si>
  <si>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</si>
  <si>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</si>
  <si>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</si>
  <si>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</si>
  <si>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</si>
  <si>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</si>
  <si>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</si>
  <si>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</si>
  <si>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</si>
  <si>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</si>
  <si>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</si>
  <si>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</si>
  <si>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</si>
  <si>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</si>
  <si>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</si>
  <si>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</si>
  <si>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</si>
  <si>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</si>
  <si>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</si>
  <si>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</si>
  <si>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</si>
  <si>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</si>
  <si>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</si>
  <si>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</si>
  <si>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</si>
  <si>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</si>
  <si>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</si>
  <si>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</si>
  <si>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</si>
  <si>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</si>
  <si>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</si>
  <si>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</si>
  <si>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MATRIZ</t>
  </si>
  <si>
    <t>203675-1</t>
  </si>
  <si>
    <t>STROBEL DO BRAS</t>
  </si>
  <si>
    <t>TIAGO SANTANA</t>
  </si>
  <si>
    <t>ECONOMICO_250</t>
  </si>
  <si>
    <t>CTE NORMAL</t>
  </si>
  <si>
    <t>SAO PAULO - SP</t>
  </si>
  <si>
    <t>BRUNO RODRIGUES DA COSTA</t>
  </si>
  <si>
    <t>ANDRE LUIS DE OLIVEIRA</t>
  </si>
  <si>
    <t>VIVALDINO DAMER DE JESUS</t>
  </si>
  <si>
    <t>2241-6</t>
  </si>
  <si>
    <t>MATTEL DO BRASI</t>
  </si>
  <si>
    <t>MARLON MARQUES</t>
  </si>
  <si>
    <t>EXPRESSO_250</t>
  </si>
  <si>
    <t>BELEM - PA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</si>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</sst>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[Analise_VIVALDINO_24092026.xlsx]Resumo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40914.480000000003</c:v>
                </c:pt>
                <c:pt idx="1">
                  <c:v>165.5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33936.851600000002</c:v>
                </c:pt>
                <c:pt idx="1">
                  <c:v>79.810000000000016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[Analise_VIVALDINO_24092026.xlsx]Resumo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40914.480000000003</c:v>
                </c:pt>
                <c:pt idx="1">
                  <c:v>165.5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33936.851600000002</c:v>
                </c:pt>
                <c:pt idx="1">
                  <c:v>79.810000000000016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62280092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417" count="8000">
        <n v="302194"/>
        <n v="30241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09-24T00:00:00"/>
    </cacheField>
    <cacheField name="DATA" numFmtId="14">
      <sharedItems containsNonDate="0" containsDate="1" containsString="0" containsBlank="1" minDate="2026-09-23T00:00:00" maxDate="2026-09-24T00:00:00"/>
    </cacheField>
    <cacheField name="FAT" numFmtId="0">
      <sharedItems containsString="0" containsBlank="1" containsNumber="1" containsInteger="1" minValue="65927" maxValue="65927"/>
    </cacheField>
    <cacheField name="CT-E" numFmtId="0">
      <sharedItems containsBlank="1"/>
    </cacheField>
    <cacheField name="CLIENTE TOMADOR" numFmtId="0">
      <sharedItems containsBlank="1" count="855">
        <s v="STROBEL DO BRAS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91.04" maxValue="1252398.23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65.5" maxValue="40914.480000000003"/>
    </cacheField>
    <cacheField name="VOLUMES" numFmtId="0">
      <sharedItems containsString="0" containsBlank="1" containsNumber="1" containsInteger="1" minValue="3" maxValue="3539"/>
    </cacheField>
    <cacheField name="PESO" numFmtId="0">
      <sharedItems containsString="0" containsBlank="1" containsNumber="1" minValue="51.75" maxValue="6448.38"/>
    </cacheField>
    <cacheField name="RESP. COLETA" numFmtId="0">
      <sharedItems containsBlank="1"/>
    </cacheField>
    <cacheField name="CUSTO COLETA" numFmtId="0">
      <sharedItems containsString="0" containsBlank="1" containsNumber="1" minValue="0" maxValue="5.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3.69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9.86" maxValue="2864.0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2" maxValue="626.20000000000005"/>
    </cacheField>
    <cacheField name="OUTROS" numFmtId="0">
      <sharedItems containsString="0" containsBlank="1" containsNumber="1" minValue="1.72" maxValue="214.26"/>
    </cacheField>
    <cacheField name="C.TOTAL" numFmtId="0">
      <sharedItems containsString="0" containsBlank="1" containsNumber="1" minValue="287.41000000000003" maxValue="30489.51"/>
    </cacheField>
    <cacheField name="RECEITA" numFmtId="0">
      <sharedItems containsString="0" containsBlank="1" containsNumber="1" minValue="-121.91" maxValue="10424.969999999999"/>
    </cacheField>
    <cacheField name="IMPOSTO" numFmtId="0">
      <sharedItems containsString="0" containsBlank="1" containsNumber="1" minValue="43.03" maxValue="10637.76"/>
    </cacheField>
    <cacheField name="RESULTADO" numFmtId="0">
      <sharedItems containsString="0" containsBlank="1" containsNumber="1" minValue="-212.79" maxValue="-164.9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12.79" maxValue="-164.94"/>
    </cacheField>
    <cacheField name="MARGEM" numFmtId="10">
      <sharedItems containsString="0" containsBlank="1" containsNumber="1" minValue="-0.99659999999999993" maxValue="-5.1999999999999998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2T00:00:00"/>
    <d v="2026-09-23T00:00:00"/>
    <n v="65927"/>
    <s v="203675-1"/>
    <x v="0"/>
    <s v="TIAGO SANTANA"/>
    <n v="2391.04"/>
    <x v="0"/>
    <s v="CTE NORMAL"/>
    <s v="SAO PAULO - SP"/>
    <n v="165.5"/>
    <n v="3"/>
    <n v="51.75"/>
    <s v="BRUNO RODRIGUES DA COSTA"/>
    <n v="5.98"/>
    <s v="ANDRE LUIS DE OLIVEIRA"/>
    <n v="43.69"/>
    <s v="VIVALDINO DAMER DE JESUS"/>
    <n v="0"/>
    <n v="19.86"/>
    <n v="0"/>
    <n v="0"/>
    <n v="1.2"/>
    <n v="1.72"/>
    <n v="287.41000000000003"/>
    <n v="-121.91"/>
    <n v="43.03"/>
    <n v="-164.94"/>
    <n v="0"/>
    <n v="-164.94"/>
    <n v="-0.99659999999999993"/>
    <m/>
  </r>
  <r>
    <x v="1"/>
    <s v="MATRIZ"/>
    <d v="2026-09-23T00:00:00"/>
    <d v="2026-09-23T00:00:00"/>
    <m/>
    <s v="2241-6"/>
    <x v="1"/>
    <s v="MARLON MARQUES"/>
    <n v="1252398.23"/>
    <x v="1"/>
    <s v="CTE NORMAL"/>
    <s v="BELEM - PA"/>
    <n v="40914.480000000003"/>
    <n v="3539"/>
    <n v="6448.38"/>
    <s v="N/D"/>
    <n v="0"/>
    <s v="N/D"/>
    <n v="0"/>
    <s v="VIVALDINO DAMER DE JESUS"/>
    <n v="0"/>
    <n v="2864.01"/>
    <n v="0"/>
    <n v="0"/>
    <n v="626.20000000000005"/>
    <n v="214.26"/>
    <n v="30489.51"/>
    <n v="10424.969999999999"/>
    <n v="10637.76"/>
    <n v="-212.79"/>
    <n v="0"/>
    <n v="-212.79"/>
    <n v="-5.1999999999999998E-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x="0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73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x="0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73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1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4" s="1" nd="1"/>
        <i x="602" s="1" nd="1"/>
        <i x="449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1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5" s="1" nd="1"/>
        <i x="669" s="1" nd="1"/>
        <i x="94" s="1" nd="1"/>
        <i x="439" s="1" nd="1"/>
        <i x="351" s="1" nd="1"/>
        <i x="784" s="1" nd="1"/>
        <i x="498" s="1" nd="1"/>
        <i x="62" s="1" nd="1"/>
        <i x="455" s="1" nd="1"/>
        <i x="83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4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3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0" s="1" nd="1"/>
        <i x="425" s="1" nd="1"/>
        <i x="176" s="1" nd="1"/>
        <i x="365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7" totalsRowShown="0" headerRowDxfId="92" dataDxfId="90" headerRowBorderDxfId="91" tableBorderDxfId="89" totalsRowBorderDxfId="88">
  <autoFilter ref="A1:D38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302194</v>
      </c>
      <c r="B2" s="12" t="s">
        <v>606</v>
      </c>
      <c r="C2" s="14">
        <v>46287</v>
      </c>
      <c r="D2" s="14">
        <v>46288</v>
      </c>
      <c r="E2" s="12">
        <v>65927</v>
      </c>
      <c r="F2" s="15" t="s">
        <v>607</v>
      </c>
      <c r="G2" s="15" t="s">
        <v>608</v>
      </c>
      <c r="H2" s="15" t="s">
        <v>609</v>
      </c>
      <c r="I2" s="16">
        <v>2391.04</v>
      </c>
      <c r="J2" s="15" t="s">
        <v>610</v>
      </c>
      <c r="K2" s="15" t="s">
        <v>611</v>
      </c>
      <c r="L2" s="15" t="s">
        <v>612</v>
      </c>
      <c r="M2" s="15">
        <v>165.5</v>
      </c>
      <c r="N2" s="15">
        <v>3</v>
      </c>
      <c r="O2" s="16">
        <v>51.75</v>
      </c>
      <c r="P2" s="15" t="s">
        <v>613</v>
      </c>
      <c r="Q2" s="15">
        <v>5.98</v>
      </c>
      <c r="R2" s="15" t="s">
        <v>614</v>
      </c>
      <c r="S2" s="15">
        <v>43.69</v>
      </c>
      <c r="T2" s="15" t="s">
        <v>615</v>
      </c>
      <c r="U2" s="15">
        <v>0</v>
      </c>
      <c r="V2" s="15">
        <v>19.86</v>
      </c>
      <c r="W2" s="15">
        <v>0</v>
      </c>
      <c r="X2" s="15">
        <v>0</v>
      </c>
      <c r="Y2" s="15">
        <v>1.2</v>
      </c>
      <c r="Z2" s="15">
        <v>1.72</v>
      </c>
      <c r="AA2" s="15">
        <v>287.41000000000003</v>
      </c>
      <c r="AB2" s="15">
        <v>-121.91</v>
      </c>
      <c r="AC2" s="15">
        <v>43.03</v>
      </c>
      <c r="AD2" s="15">
        <v>-164.94</v>
      </c>
      <c r="AE2" s="15">
        <v>0</v>
      </c>
      <c r="AF2" s="15">
        <v>-164.94</v>
      </c>
      <c r="AG2" s="17">
        <v>-0.99659999999999993</v>
      </c>
      <c r="AH2" s="15"/>
    </row>
    <row r="3" spans="1:34" s="1" customFormat="1" ht="12" customHeight="1" x14ac:dyDescent="0.3">
      <c r="A3" s="13">
        <v>302417</v>
      </c>
      <c r="B3" s="12" t="s">
        <v>606</v>
      </c>
      <c r="C3" s="14">
        <v>46288</v>
      </c>
      <c r="D3" s="14">
        <v>46288</v>
      </c>
      <c r="E3" s="12"/>
      <c r="F3" s="15" t="s">
        <v>616</v>
      </c>
      <c r="G3" s="15" t="s">
        <v>617</v>
      </c>
      <c r="H3" s="15" t="s">
        <v>618</v>
      </c>
      <c r="I3" s="16">
        <v>1252398.23</v>
      </c>
      <c r="J3" s="15" t="s">
        <v>619</v>
      </c>
      <c r="K3" s="15" t="s">
        <v>611</v>
      </c>
      <c r="L3" s="15" t="s">
        <v>620</v>
      </c>
      <c r="M3" s="16">
        <v>40914.480000000003</v>
      </c>
      <c r="N3" s="15">
        <v>3539</v>
      </c>
      <c r="O3" s="16">
        <v>6448.38</v>
      </c>
      <c r="P3" s="15" t="s">
        <v>621</v>
      </c>
      <c r="Q3" s="15">
        <v>0</v>
      </c>
      <c r="R3" s="15" t="s">
        <v>621</v>
      </c>
      <c r="S3" s="15">
        <v>0</v>
      </c>
      <c r="T3" s="15" t="s">
        <v>615</v>
      </c>
      <c r="U3" s="15">
        <v>0</v>
      </c>
      <c r="V3" s="15">
        <v>2864.01</v>
      </c>
      <c r="W3" s="15">
        <v>0</v>
      </c>
      <c r="X3" s="15">
        <v>0</v>
      </c>
      <c r="Y3" s="15">
        <v>626.20000000000005</v>
      </c>
      <c r="Z3" s="15">
        <v>214.26</v>
      </c>
      <c r="AA3" s="16">
        <v>30489.51</v>
      </c>
      <c r="AB3" s="16">
        <v>10424.969999999999</v>
      </c>
      <c r="AC3" s="15">
        <v>10637.76</v>
      </c>
      <c r="AD3" s="15">
        <v>-212.79</v>
      </c>
      <c r="AE3" s="15">
        <v>0</v>
      </c>
      <c r="AF3" s="15">
        <v>-212.79</v>
      </c>
      <c r="AG3" s="17">
        <v>-5.1999999999999998E-3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41079.980000000003</v>
      </c>
      <c r="F3" s="89"/>
      <c r="G3" s="90"/>
      <c r="H3" s="133">
        <f>'Resumo Detalhado'!C2</f>
        <v>6500.13</v>
      </c>
      <c r="I3" s="134"/>
      <c r="J3" s="135">
        <f>E3/H3</f>
        <v>6.3198705256664098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0.29546045454545455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27005.98</v>
      </c>
      <c r="F7" s="112"/>
      <c r="G7" s="112"/>
      <c r="H7" s="112"/>
      <c r="I7" s="112"/>
      <c r="J7" s="112">
        <f>E7/H3</f>
        <v>4.1546830601849498</v>
      </c>
      <c r="K7" s="112"/>
      <c r="L7" s="112"/>
      <c r="M7" s="130">
        <f>E7/E3</f>
        <v>0.6574000279454858</v>
      </c>
      <c r="N7" s="130"/>
      <c r="O7" s="130"/>
      <c r="P7" s="112">
        <f>E11+K11+Q11+E15+K15+Q15+E19+H19+K19</f>
        <v>40592.425200000005</v>
      </c>
      <c r="Q7" s="112"/>
      <c r="R7" s="112"/>
      <c r="S7" s="112">
        <f>P7/H3</f>
        <v>6.2448635950357927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27000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27000</v>
      </c>
      <c r="L11" s="90"/>
      <c r="M11" s="38"/>
      <c r="N11" s="88">
        <f>K11/H3</f>
        <v>4.153763078584582</v>
      </c>
      <c r="O11" s="90"/>
      <c r="P11" s="38"/>
      <c r="Q11" s="88">
        <f>'Resumo Detalhado'!D2</f>
        <v>5.98</v>
      </c>
      <c r="R11" s="90"/>
      <c r="S11" s="38"/>
      <c r="T11" s="88">
        <f>Q11/H3</f>
        <v>9.1998160036799268E-4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2883.8700000000003</v>
      </c>
      <c r="F15" s="119"/>
      <c r="G15" s="119"/>
      <c r="H15" s="119"/>
      <c r="I15" s="132"/>
      <c r="J15" s="38"/>
      <c r="K15" s="113">
        <f>'Resumo Detalhado'!K2+'Resumo Detalhado'!L2</f>
        <v>6572.7968000000001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627.40000000000009</v>
      </c>
      <c r="F19" s="120"/>
      <c r="G19" s="38"/>
      <c r="H19" s="122">
        <f>'Resumo Detalhado'!J2</f>
        <v>215.98</v>
      </c>
      <c r="I19" s="123"/>
      <c r="J19" s="38"/>
      <c r="K19" s="122">
        <f>'Resumo Detalhado'!L2</f>
        <v>3286.3984</v>
      </c>
      <c r="L19" s="123"/>
      <c r="M19" s="38"/>
      <c r="N19" s="121" t="s">
        <v>605</v>
      </c>
      <c r="O19" s="119"/>
      <c r="P19" s="119"/>
      <c r="Q19" s="119"/>
      <c r="R19" s="120"/>
      <c r="S19" s="121">
        <f>_xlfn.XLOOKUP(N19,Target!C:C,Target!D:D)</f>
        <v>27000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34016.661599999999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0.8280593515381458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622</v>
      </c>
      <c r="F1" s="29"/>
    </row>
    <row r="2" spans="1:18" x14ac:dyDescent="0.3">
      <c r="B2" s="29">
        <f>SUM(B6:B5000)</f>
        <v>41079.980000000003</v>
      </c>
      <c r="C2" s="29">
        <f>SUM(C6:C5000)</f>
        <v>6500.13</v>
      </c>
      <c r="D2" s="29">
        <f>SUM(D6:D5000)</f>
        <v>5.98</v>
      </c>
      <c r="E2" s="29">
        <f>SUM(E6:E5000)</f>
        <v>43.69</v>
      </c>
      <c r="F2" s="29">
        <f>SUM(F6:F5000)</f>
        <v>0</v>
      </c>
      <c r="G2" s="29"/>
      <c r="H2" s="29">
        <f t="shared" ref="H2:P2" si="0">SUM(H6:H5000)</f>
        <v>2883.8700000000003</v>
      </c>
      <c r="I2" s="29">
        <f t="shared" si="0"/>
        <v>627.40000000000009</v>
      </c>
      <c r="J2" s="29">
        <f t="shared" si="0"/>
        <v>215.98</v>
      </c>
      <c r="K2" s="29">
        <f t="shared" si="0"/>
        <v>3286.3984</v>
      </c>
      <c r="L2" s="29">
        <f t="shared" si="0"/>
        <v>3286.3984</v>
      </c>
      <c r="M2" s="29">
        <f t="shared" si="0"/>
        <v>0</v>
      </c>
      <c r="N2" s="29">
        <f t="shared" si="0"/>
        <v>34016.661599999999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302417</v>
      </c>
      <c r="B6" s="139">
        <v>40914.480000000003</v>
      </c>
      <c r="C6" s="140">
        <v>6448.38</v>
      </c>
      <c r="D6" s="139">
        <v>0</v>
      </c>
      <c r="E6" s="139">
        <v>0</v>
      </c>
      <c r="F6" s="139">
        <v>0</v>
      </c>
      <c r="G6" s="141">
        <v>0</v>
      </c>
      <c r="H6" s="139">
        <v>2864.01</v>
      </c>
      <c r="I6" s="139">
        <v>626.20000000000005</v>
      </c>
      <c r="J6" s="139">
        <v>214.26</v>
      </c>
      <c r="K6" s="139">
        <v>3273.1584000000003</v>
      </c>
      <c r="L6" s="139">
        <v>3273.1584000000003</v>
      </c>
      <c r="M6" s="139">
        <v>0</v>
      </c>
      <c r="N6" s="139">
        <v>33936.851600000002</v>
      </c>
      <c r="O6" s="141">
        <v>0.82945821625986693</v>
      </c>
      <c r="Q6"/>
    </row>
    <row r="7" spans="1:18" s="31" customFormat="1" x14ac:dyDescent="0.3">
      <c r="A7" s="9" t="s">
        <v>608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302194</v>
      </c>
      <c r="B8" s="139">
        <v>165.5</v>
      </c>
      <c r="C8" s="140">
        <v>51.75</v>
      </c>
      <c r="D8" s="139">
        <v>5.98</v>
      </c>
      <c r="E8" s="139">
        <v>43.69</v>
      </c>
      <c r="F8" s="139">
        <v>0</v>
      </c>
      <c r="G8" s="141">
        <v>0.30012084592145016</v>
      </c>
      <c r="H8" s="139">
        <v>19.86</v>
      </c>
      <c r="I8" s="139">
        <v>1.2</v>
      </c>
      <c r="J8" s="139">
        <v>1.72</v>
      </c>
      <c r="K8" s="139">
        <v>13.24</v>
      </c>
      <c r="L8" s="139">
        <v>13.24</v>
      </c>
      <c r="M8" s="139">
        <v>0</v>
      </c>
      <c r="N8" s="139">
        <v>79.810000000000016</v>
      </c>
      <c r="O8" s="141">
        <v>0.4822356495468279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622</v>
      </c>
    </row>
    <row r="2" spans="1:4" x14ac:dyDescent="0.3">
      <c r="B2" s="29">
        <f>SUM(B6:B5000)</f>
        <v>165.5</v>
      </c>
      <c r="C2" s="29">
        <f>SUM(C6:C5000)</f>
        <v>79.810000000000016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617</v>
      </c>
      <c r="B5" s="10">
        <v>40914.480000000003</v>
      </c>
      <c r="C5" s="10">
        <v>33936.851600000002</v>
      </c>
    </row>
    <row r="6" spans="1:4" x14ac:dyDescent="0.3">
      <c r="A6" s="9" t="s">
        <v>608</v>
      </c>
      <c r="B6" s="139">
        <v>165.5</v>
      </c>
      <c r="C6" s="139">
        <v>79.810000000000016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2026-09-29T13:31:44Z</dcterms:modified>
  <cp:category/>
  <cp:contentStatus/>
</cp:coreProperties>
</file>