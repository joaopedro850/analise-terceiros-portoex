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94F6FFE-53B0-4FCA-83B1-1DBE32DDC26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<sst xmlns="http://schemas.openxmlformats.org/spreadsheetml/2006/main" count="880" uniqueCount="605">
  <si>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</si>
  <si>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</si>
  <si>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</si>
  <si>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</si>
  <si>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</si>
  <si>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</si>
  <si>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</si>
  <si>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</si>
  <si>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</si>
  <si>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</si>
  <si>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</si>
  <si>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</si>
  <si>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</si>
  <si>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</si>
  <si>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</si>
  <si>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</si>
  <si>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</si>
  <si>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</si>
  <si>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</si>
  <si>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</si>
  <si>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</si>
  <si>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</si>
  <si>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</si>
  <si>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</si>
  <si>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</si>
  <si>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</si>
  <si>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</si>
  <si>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</si>
  <si>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</si>
  <si>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</si>
  <si>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</si>
  <si>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</si>
  <si>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</si>
  <si>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</si>
  <si>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</si>
  <si>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</si>
  <si>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</si>
  <si>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</si>
  <si>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</si>
  <si>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</si>
  <si>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</si>
  <si>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</si>
  <si>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</si>
  <si>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</si>
  <si>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</si>
  <si>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</si>
  <si>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</si>
  <si>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</si>
  <si>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</si>
  <si>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</si>
  <si>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</si>
  <si>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</si>
  <si>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</si>
  <si>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</si>
  <si>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</si>
  <si>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</si>
  <si>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</si>
  <si>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</si>
  <si>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</si>
  <si>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</si>
  <si>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</si>
  <si>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</si>
  <si>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</si>
  <si>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</si>
  <si>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</si>
  <si>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</si>
  <si>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</si>
  <si>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</si>
  <si>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</si>
  <si>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</si>
  <si>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</si>
  <si>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</si>
  <si>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</si>
  <si>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</si>
  <si>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</si>
  <si>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</si>
  <si>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</si>
  <si>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</si>
  <si>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</si>
  <si>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</si>
  <si>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</si>
  <si>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</si>
  <si>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</si>
  <si>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</si>
  <si>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</si>
  <si>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</si>
  <si>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</si>
  <si>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</si>
  <si>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</si>
  <si>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</si>
  <si>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</si>
  <si>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</si>
  <si>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</si>
  <si>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</si>
  <si>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</si>
  <si>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</si>
  <si>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</si>
  <si>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</si>
  <si>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</si>
  <si>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</si>
  <si>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</si>
  <si>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</si>
  <si>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</si>
  <si>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</si>
  <si>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</si>
  <si>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</si>
  <si>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</si>
  <si>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</si>
  <si>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</si>
  <si>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</si>
  <si>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</si>
  <si>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</si>
  <si>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</si>
  <si>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</si>
  <si>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</si>
  <si>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</si>
  <si>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</si>
  <si>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</si>
  <si>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</si>
  <si>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</si>
  <si>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</si>
  <si>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</si>
  <si>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</si>
  <si>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</si>
  <si>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</si>
  <si>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</si>
  <si>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</si>
  <si>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</si>
  <si>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</si>
  <si>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</si>
  <si>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</si>
  <si>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</si>
  <si>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</si>
  <si>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</si>
  <si>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</si>
  <si>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</si>
  <si>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</si>
  <si>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</si>
  <si>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</si>
  <si>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</si>
  <si>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</si>
  <si>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</si>
  <si>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</si>
  <si>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</si>
  <si>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</si>
  <si>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</si>
  <si>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</si>
  <si>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</si>
  <si>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</si>
  <si>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</si>
  <si>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</si>
  <si>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</si>
  <si>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</si>
  <si>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</si>
  <si>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</si>
  <si>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</si>
  <si>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</si>
  <si>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</si>
  <si>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</si>
  <si>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</si>
  <si>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</si>
  <si>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</si>
  <si>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</si>
  <si>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</si>
  <si>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</si>
  <si>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</si>
  <si>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</si>
  <si>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</si>
  <si>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</si>
  <si>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</si>
  <si>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</si>
  <si>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</si>
  <si>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</si>
  <si>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</si>
  <si>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</si>
  <si>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</si>
  <si>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</si>
  <si>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</si>
  <si>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</si>
  <si>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</si>
  <si>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</si>
  <si>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</si>
  <si>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</si>
  <si>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</si>
  <si>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</si>
  <si>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</si>
  <si>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</si>
  <si>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</si>
  <si>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</si>
  <si>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</si>
  <si>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</si>
  <si>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</si>
  <si>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</si>
  <si>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</si>
  <si>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</si>
  <si>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</si>
  <si>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</si>
  <si>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</si>
  <si>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</si>
  <si>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</si>
  <si>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</si>
  <si>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</si>
  <si>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</si>
  <si>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</si>
  <si>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</si>
  <si>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</si>
  <si>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</si>
  <si>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</si>
  <si>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</si>
  <si>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</si>
  <si>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</si>
  <si>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</si>
  <si>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</si>
  <si>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</si>
  <si>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</si>
  <si>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</si>
  <si>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</si>
  <si>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</si>
  <si>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</si>
  <si>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</si>
  <si>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</si>
  <si>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</si>
  <si>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</si>
  <si>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</si>
  <si>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</si>
  <si>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</si>
  <si>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</si>
  <si>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</si>
  <si>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</si>
  <si>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</si>
  <si>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</si>
  <si>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</si>
  <si>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</si>
  <si>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</si>
  <si>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</si>
  <si>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</si>
  <si>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</si>
  <si>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</si>
  <si>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</si>
  <si>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</si>
  <si>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</si>
  <si>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</si>
  <si>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</si>
  <si>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</si>
  <si>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</si>
  <si>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</si>
  <si>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</si>
  <si>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</si>
  <si>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</si>
  <si>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</si>
  <si>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</si>
  <si>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</si>
  <si>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</si>
  <si>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</si>
  <si>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</si>
  <si>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</si>
  <si>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</si>
  <si>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</si>
  <si>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</si>
  <si>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</si>
  <si>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</si>
  <si>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</si>
  <si>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</si>
  <si>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</si>
  <si>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</si>
  <si>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</si>
  <si>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</si>
  <si>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</si>
  <si>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</si>
  <si>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</si>
  <si>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</si>
  <si>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</si>
  <si>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</si>
  <si>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</si>
  <si>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</si>
  <si>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</si>
  <si>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</si>
  <si>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</si>
  <si>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</si>
  <si>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</si>
  <si>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</si>
  <si>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</si>
  <si>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</si>
  <si>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</si>
  <si>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</si>
  <si>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</si>
  <si>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</si>
  <si>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</si>
  <si>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</si>
  <si>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</si>
  <si>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</si>
  <si>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</si>
  <si>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</si>
  <si>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</si>
  <si>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</si>
  <si>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</si>
  <si>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</si>
  <si>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</si>
  <si>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</si>
  <si>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</si>
  <si>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</si>
  <si>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</si>
  <si>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</si>
  <si>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</si>
  <si>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</si>
  <si>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</si>
  <si>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</si>
  <si>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</si>
  <si>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</si>
  <si>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</si>
  <si>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</si>
  <si>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</si>
  <si>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</si>
  <si>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</si>
  <si>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</si>
  <si>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</si>
  <si>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</si>
  <si>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</si>
  <si>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</si>
  <si>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</si>
  <si>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</si>
  <si>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</si>
  <si>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</si>
  <si>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</si>
  <si>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</si>
  <si>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</si>
  <si>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</si>
  <si>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</si>
  <si>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</si>
  <si>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</si>
  <si>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</si>
  <si>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</si>
  <si>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</si>
  <si>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</si>
  <si>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</si>
  <si>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</si>
  <si>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</si>
  <si>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</si>
  <si>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</si>
  <si>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</si>
  <si>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</si>
  <si>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</si>
  <si>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</si>
  <si>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</si>
  <si>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</si>
  <si>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</si>
  <si>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</si>
  <si>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</si>
  <si>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</si>
  <si>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</si>
  <si>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</si>
  <si>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</si>
  <si>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</si>
  <si>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</si>
  <si>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</si>
  <si>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</si>
  <si>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</si>
  <si>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</si>
  <si>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</si>
  <si>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</si>
  <si>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</si>
  <si>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</si>
  <si>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</si>
  <si>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</si>
  <si>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</si>
  <si>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</si>
  <si>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</si>
  <si>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</si>
  <si>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</si>
  <si>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</si>
  <si>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</si>
  <si>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</si>
  <si>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</si>
  <si>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</si>
  <si>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</si>
  <si>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</si>
  <si>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</si>
  <si>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</si>
  <si>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</si>
  <si>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</si>
  <si>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</si>
  <si>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</si>
  <si>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</si>
  <si>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</si>
  <si>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</si>
  <si>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</si>
  <si>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</si>
  <si>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</si>
  <si>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</si>
  <si>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</si>
  <si>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</si>
  <si>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</si>
  <si>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</si>
  <si>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</si>
  <si>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</si>
  <si>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</si>
  <si>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</si>
  <si>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</si>
  <si>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</si>
  <si>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</si>
  <si>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</si>
  <si>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</si>
  <si>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</si>
  <si>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</si>
  <si>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</si>
  <si>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</si>
  <si>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</si>
  <si>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</si>
  <si>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</si>
  <si>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</si>
  <si>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</si>
  <si>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</si>
  <si>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</si>
  <si>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</si>
  <si>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</si>
  <si>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</si>
  <si>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</si>
  <si>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</si>
  <si>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</si>
  <si>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</si>
  <si>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</si>
  <si>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</si>
  <si>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</si>
  <si>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</si>
  <si>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</si>
  <si>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</si>
  <si>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</si>
  <si>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</si>
  <si>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</si>
  <si>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</si>
  <si>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</si>
  <si>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</si>
  <si>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</si>
  <si>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</si>
  <si>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</si>
  <si>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</si>
  <si>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</si>
  <si>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</si>
  <si>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</si>
  <si>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</si>
  <si>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</si>
  <si>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</si>
  <si>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</si>
  <si>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</si>
  <si>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</si>
  <si>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</si>
  <si>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</si>
  <si>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</si>
  <si>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</si>
  <si>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</si>
  <si>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</si>
  <si>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</si>
  <si>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</si>
  <si>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</si>
  <si>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</si>
  <si>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</si>
  <si>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</si>
  <si>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</si>
  <si>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</si>
  <si>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</si>
  <si>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</si>
  <si>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</si>
  <si>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</si>
  <si>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</si>
  <si>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</si>
  <si>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</si>
  <si>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</si>
  <si>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</si>
  <si>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</si>
  <si>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</si>
  <si>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</si>
  <si>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</si>
  <si>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</si>
  <si>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</si>
  <si>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</si>
  <si>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</si>
  <si>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</si>
  <si>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</si>
  <si>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</si>
  <si>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</si>
  <si>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</si>
  <si>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</si>
  <si>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</si>
  <si>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</si>
  <si>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</si>
  <si>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</si>
  <si>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</si>
  <si>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</si>
  <si>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</si>
  <si>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</si>
  <si>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</si>
  <si>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</si>
  <si>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</si>
  <si>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</si>
  <si>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</si>
  <si>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</si>
  <si>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</si>
  <si>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</si>
  <si>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</si>
  <si>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</si>
  <si>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</si>
  <si>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</si>
  <si>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</si>
  <si>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</si>
  <si>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</si>
  <si>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</si>
  <si>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</si>
  <si>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</si>
  <si>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</si>
  <si>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</si>
  <si>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</si>
  <si>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</si>
  <si>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</si>
  <si>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</si>
  <si>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</si>
  <si>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</si>
  <si>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</si>
  <si>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</si>
  <si>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</si>
  <si>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</si>
  <si>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</si>
  <si>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</si>
  <si>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</si>
  <si>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</si>
  <si>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</si>
  <si>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</si>
  <si>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</si>
  <si>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</si>
  <si>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</si>
  <si>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</si>
  <si>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</si>
  <si>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</si>
  <si>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</si>
  <si>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</si>
  <si>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</si>
  <si>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</si>
  <si>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</si>
  <si>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</si>
  <si>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</si>
  <si>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</si>
  <si>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</si>
  <si>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</si>
  <si>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</si>
  <si>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</si>
  <si>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</si>
  <si>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</si>
  <si>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</si>
  <si>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</si>
  <si>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</si>
  <si>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</si>
  <si>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</si>
  <si>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</si>
  <si>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</si>
  <si>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</si>
  <si>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</si>
  <si>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</si>
  <si>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</si>
  <si>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</si>
  <si>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</si>
  <si>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</si>
  <si>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</si>
  <si>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</si>
  <si>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</si>
  <si>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</si>
  <si>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</si>
  <si>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</si>
  <si>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</si>
  <si>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</si>
  <si>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</si>
  <si>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</si>
  <si>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</si>
  <si>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</si>
  <si>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</si>
  <si>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</si>
  <si>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</si>
  <si>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</si>
  <si>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</si>
  <si>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</si>
  <si>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</si>
  <si>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</si>
  <si>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</si>
  <si>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</si>
  <si>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</si>
  <si>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</si>
  <si>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</si>
  <si>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</si>
  <si>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</si>
  <si>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</si>
  <si>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MATRIZ</t>
  </si>
  <si>
    <t>3052-1</t>
  </si>
  <si>
    <t>AC COMERCIAL IM</t>
  </si>
  <si>
    <t>TIAGO SANTANA</t>
  </si>
  <si>
    <t>PERSONALIZADO</t>
  </si>
  <si>
    <t>CTE NORMAL</t>
  </si>
  <si>
    <t>CONTAGEM - MG</t>
  </si>
  <si>
    <t>N/D</t>
  </si>
  <si>
    <t>ROSADO NS TRANSPORTES LTD</t>
  </si>
  <si>
    <t>3065-1</t>
  </si>
  <si>
    <t>STRATUS COMERCI</t>
  </si>
  <si>
    <t>MICHELL MARQUES</t>
  </si>
  <si>
    <t>ECONOMICO_250</t>
  </si>
  <si>
    <t>SAO PAULO - SP</t>
  </si>
  <si>
    <t>HELTON JOHN DA SILVA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</si>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</sst>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[Analise_WASHINGTON_16092026.xlsx]Resumo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15773.26</c:v>
                </c:pt>
                <c:pt idx="1">
                  <c:v>146.41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12327.619200000001</c:v>
                </c:pt>
                <c:pt idx="1">
                  <c:v>72.487199999999987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[Analise_WASHINGTON_16092026.xlsx]Resumo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15773.26</c:v>
                </c:pt>
                <c:pt idx="1">
                  <c:v>146.41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12327.619200000001</c:v>
                </c:pt>
                <c:pt idx="1">
                  <c:v>72.487199999999987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6.4124307870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51"/>
        <n v="316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7T00:00:00"/>
    </cacheField>
    <cacheField name="DATA" numFmtId="14">
      <sharedItems containsNonDate="0" containsDate="1" containsString="0" containsBlank="1" minDate="2026-09-15T00:00:00" maxDate="2026-09-1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78.44" maxValue="380470.62"/>
    </cacheField>
    <cacheField name="SERVICO" numFmtId="0">
      <sharedItems containsBlank="1" count="27">
        <s v="PERSONALIZADO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6.41" maxValue="15773.26"/>
    </cacheField>
    <cacheField name="VOLUMES" numFmtId="0">
      <sharedItems containsString="0" containsBlank="1" containsNumber="1" containsInteger="1" minValue="3" maxValue="20"/>
    </cacheField>
    <cacheField name="PESO" numFmtId="0">
      <sharedItems containsString="0" containsBlank="1" containsNumber="1" minValue="38.020000000000003" maxValue="14256"/>
    </cacheField>
    <cacheField name="RESP. COLETA" numFmtId="0">
      <sharedItems containsBlank="1"/>
    </cacheField>
    <cacheField name="CUSTO COLETA" numFmtId="0">
      <sharedItems containsString="0" containsBlank="1" containsNumber="1" minValue="0" maxValue="3.2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57" maxValue="1892.7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43" maxValue="152.1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4.97999999999999" maxValue="10962.21"/>
    </cacheField>
    <cacheField name="RECEITA" numFmtId="0">
      <sharedItems containsString="0" containsBlank="1" containsNumber="1" minValue="1.43" maxValue="4811.05"/>
    </cacheField>
    <cacheField name="IMPOSTO" numFmtId="0">
      <sharedItems containsString="0" containsBlank="1" containsNumber="1" minValue="23.43" maxValue="2523.7199999999998"/>
    </cacheField>
    <cacheField name="RESULTADO" numFmtId="0">
      <sharedItems containsString="0" containsBlank="1" containsNumber="1" minValue="-22" maxValue="2287.3300000000004"/>
    </cacheField>
    <cacheField name="COMIS" numFmtId="0">
      <sharedItems containsString="0" containsBlank="1" containsNumber="1" minValue="0" maxValue="138.80000000000001"/>
    </cacheField>
    <cacheField name="LUCRO LIQ" numFmtId="0">
      <sharedItems containsString="0" containsBlank="1" containsNumber="1" minValue="-22" maxValue="2148.5300000000002"/>
    </cacheField>
    <cacheField name="MARGEM" numFmtId="10">
      <sharedItems containsString="0" containsBlank="1" containsNumber="1" minValue="-0.15029999999999999" maxValue="0.1361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5T00:00:00"/>
    <d v="2026-09-15T00:00:00"/>
    <m/>
    <s v="3052-1"/>
    <x v="0"/>
    <s v="TIAGO SANTANA"/>
    <n v="380470.62"/>
    <x v="0"/>
    <s v="CTE NORMAL"/>
    <s v="CONTAGEM - MG"/>
    <n v="15773.26"/>
    <n v="20"/>
    <n v="14256"/>
    <s v="MATRIZ"/>
    <n v="0"/>
    <s v="N/D"/>
    <n v="0"/>
    <s v="ROSADO NS TRANSPORTES LTD"/>
    <n v="0"/>
    <n v="1892.79"/>
    <n v="0"/>
    <n v="0"/>
    <n v="152.19"/>
    <n v="0"/>
    <n v="10962.21"/>
    <n v="4811.05"/>
    <n v="2523.7199999999998"/>
    <n v="2287.3300000000004"/>
    <n v="138.80000000000001"/>
    <n v="2148.5300000000002"/>
    <n v="0.13619999999999999"/>
    <m/>
  </r>
  <r>
    <x v="1"/>
    <s v="MATRIZ"/>
    <d v="2026-09-16T00:00:00"/>
    <d v="2026-09-16T00:00:00"/>
    <m/>
    <s v="3065-1"/>
    <x v="1"/>
    <s v="MICHELL MARQUES"/>
    <n v="3578.44"/>
    <x v="1"/>
    <s v="CTE NORMAL"/>
    <s v="SAO PAULO - SP"/>
    <n v="146.41"/>
    <n v="3"/>
    <n v="38.020000000000003"/>
    <s v="HELTON JOHN DA SILVA"/>
    <n v="3.21"/>
    <s v="JOSE EMILTON DA COSTA - O"/>
    <n v="40"/>
    <s v="ROSADO NS TRANSPORTES LTD"/>
    <n v="0"/>
    <n v="17.57"/>
    <n v="0"/>
    <n v="0"/>
    <n v="1.43"/>
    <n v="0"/>
    <n v="144.97999999999999"/>
    <n v="1.43"/>
    <n v="23.43"/>
    <n v="-22"/>
    <n v="0"/>
    <n v="-22"/>
    <n v="-0.1502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8"/>
    </i>
    <i>
      <x v="73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1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2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4" totalsRowShown="0" headerRowDxfId="92" dataDxfId="90" headerRowBorderDxfId="91" tableBorderDxfId="89" totalsRowBorderDxfId="88">
  <autoFilter ref="A1:D37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3151</v>
      </c>
      <c r="B2" s="12" t="s">
        <v>588</v>
      </c>
      <c r="C2" s="14">
        <v>46280</v>
      </c>
      <c r="D2" s="14">
        <v>46280</v>
      </c>
      <c r="E2" s="12"/>
      <c r="F2" s="15" t="s">
        <v>589</v>
      </c>
      <c r="G2" s="15" t="s">
        <v>590</v>
      </c>
      <c r="H2" s="15" t="s">
        <v>591</v>
      </c>
      <c r="I2" s="16">
        <v>380470.62</v>
      </c>
      <c r="J2" s="15" t="s">
        <v>592</v>
      </c>
      <c r="K2" s="15" t="s">
        <v>593</v>
      </c>
      <c r="L2" s="15" t="s">
        <v>594</v>
      </c>
      <c r="M2" s="15">
        <v>15773.26</v>
      </c>
      <c r="N2" s="15">
        <v>20</v>
      </c>
      <c r="O2" s="16">
        <v>14256</v>
      </c>
      <c r="P2" s="15" t="s">
        <v>588</v>
      </c>
      <c r="Q2" s="15">
        <v>0</v>
      </c>
      <c r="R2" s="15" t="s">
        <v>595</v>
      </c>
      <c r="S2" s="15">
        <v>0</v>
      </c>
      <c r="T2" s="15" t="s">
        <v>596</v>
      </c>
      <c r="U2" s="15">
        <v>0</v>
      </c>
      <c r="V2" s="15">
        <v>1892.79</v>
      </c>
      <c r="W2" s="15">
        <v>0</v>
      </c>
      <c r="X2" s="15">
        <v>0</v>
      </c>
      <c r="Y2" s="15">
        <v>152.19</v>
      </c>
      <c r="Z2" s="15">
        <v>0</v>
      </c>
      <c r="AA2" s="15">
        <v>10962.21</v>
      </c>
      <c r="AB2" s="15">
        <v>4811.05</v>
      </c>
      <c r="AC2" s="15">
        <v>2523.7199999999998</v>
      </c>
      <c r="AD2" s="15">
        <v>2287.3300000000004</v>
      </c>
      <c r="AE2" s="15">
        <v>138.80000000000001</v>
      </c>
      <c r="AF2" s="15">
        <v>2148.5300000000002</v>
      </c>
      <c r="AG2" s="17">
        <v>0.13619999999999999</v>
      </c>
      <c r="AH2" s="15"/>
    </row>
    <row r="3" spans="1:34" s="1" customFormat="1" ht="12" customHeight="1" x14ac:dyDescent="0.3">
      <c r="A3" s="13">
        <v>3165</v>
      </c>
      <c r="B3" s="12" t="s">
        <v>588</v>
      </c>
      <c r="C3" s="14">
        <v>46281</v>
      </c>
      <c r="D3" s="14">
        <v>46281</v>
      </c>
      <c r="E3" s="12"/>
      <c r="F3" s="15" t="s">
        <v>597</v>
      </c>
      <c r="G3" s="15" t="s">
        <v>598</v>
      </c>
      <c r="H3" s="15" t="s">
        <v>599</v>
      </c>
      <c r="I3" s="16">
        <v>3578.44</v>
      </c>
      <c r="J3" s="15" t="s">
        <v>600</v>
      </c>
      <c r="K3" s="15" t="s">
        <v>593</v>
      </c>
      <c r="L3" s="15" t="s">
        <v>601</v>
      </c>
      <c r="M3" s="16">
        <v>146.41</v>
      </c>
      <c r="N3" s="15">
        <v>3</v>
      </c>
      <c r="O3" s="16">
        <v>38.020000000000003</v>
      </c>
      <c r="P3" s="15" t="s">
        <v>602</v>
      </c>
      <c r="Q3" s="15">
        <v>3.21</v>
      </c>
      <c r="R3" s="15" t="s">
        <v>603</v>
      </c>
      <c r="S3" s="15">
        <v>40</v>
      </c>
      <c r="T3" s="15" t="s">
        <v>596</v>
      </c>
      <c r="U3" s="15">
        <v>0</v>
      </c>
      <c r="V3" s="15">
        <v>17.57</v>
      </c>
      <c r="W3" s="15">
        <v>0</v>
      </c>
      <c r="X3" s="15">
        <v>0</v>
      </c>
      <c r="Y3" s="15">
        <v>1.43</v>
      </c>
      <c r="Z3" s="15">
        <v>0</v>
      </c>
      <c r="AA3" s="16">
        <v>144.97999999999999</v>
      </c>
      <c r="AB3" s="16">
        <v>1.43</v>
      </c>
      <c r="AC3" s="15">
        <v>23.43</v>
      </c>
      <c r="AD3" s="15">
        <v>-22</v>
      </c>
      <c r="AE3" s="15">
        <v>0</v>
      </c>
      <c r="AF3" s="15">
        <v>-22</v>
      </c>
      <c r="AG3" s="17">
        <v>-0.15029999999999999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15919.67</v>
      </c>
      <c r="F3" s="93"/>
      <c r="G3" s="94"/>
      <c r="H3" s="95">
        <f>'Resumo Detalhado'!C2</f>
        <v>14294.02</v>
      </c>
      <c r="I3" s="96"/>
      <c r="J3" s="97">
        <f>E3/H3</f>
        <v>1.1137293777397821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0.64972818181818182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9003.2099999999991</v>
      </c>
      <c r="F7" s="109"/>
      <c r="G7" s="109"/>
      <c r="H7" s="109"/>
      <c r="I7" s="109"/>
      <c r="J7" s="109">
        <f>E7/H3</f>
        <v>0.6298585002679441</v>
      </c>
      <c r="K7" s="109"/>
      <c r="L7" s="109"/>
      <c r="M7" s="110">
        <f>E7/E3</f>
        <v>0.56553998920831894</v>
      </c>
      <c r="N7" s="110"/>
      <c r="O7" s="110"/>
      <c r="P7" s="109">
        <f>E11+K11+Q11+E15+K15+Q15+E19+H19+K19</f>
        <v>14887.9108</v>
      </c>
      <c r="Q7" s="109"/>
      <c r="R7" s="109"/>
      <c r="S7" s="109">
        <f>P7/H3</f>
        <v>1.0415481998765916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9000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9000</v>
      </c>
      <c r="L11" s="94"/>
      <c r="M11" s="38"/>
      <c r="N11" s="92">
        <f>K11/H3</f>
        <v>0.62963393083261388</v>
      </c>
      <c r="O11" s="94"/>
      <c r="P11" s="38"/>
      <c r="Q11" s="92">
        <f>'Resumo Detalhado'!D2</f>
        <v>3.21</v>
      </c>
      <c r="R11" s="94"/>
      <c r="S11" s="38"/>
      <c r="T11" s="92">
        <f>Q11/H3</f>
        <v>2.2456943533029895E-4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1910.36</v>
      </c>
      <c r="F15" s="113"/>
      <c r="G15" s="113"/>
      <c r="H15" s="113"/>
      <c r="I15" s="114"/>
      <c r="J15" s="38"/>
      <c r="K15" s="116">
        <f>'Resumo Detalhado'!K2+'Resumo Detalhado'!L2</f>
        <v>2547.1472000000003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153.62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1273.5736000000002</v>
      </c>
      <c r="L19" s="108"/>
      <c r="M19" s="38"/>
      <c r="N19" s="112" t="s">
        <v>587</v>
      </c>
      <c r="O19" s="113"/>
      <c r="P19" s="113"/>
      <c r="Q19" s="113"/>
      <c r="R19" s="119"/>
      <c r="S19" s="112">
        <f>_xlfn.XLOOKUP(N19,Target!C:C,Target!D:D)</f>
        <v>9300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12400.106400000001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0.77891730167773576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604</v>
      </c>
      <c r="F1" s="29"/>
    </row>
    <row r="2" spans="1:18" x14ac:dyDescent="0.3">
      <c r="B2" s="29">
        <f>SUM(B6:B5000)</f>
        <v>15919.67</v>
      </c>
      <c r="C2" s="29">
        <f>SUM(C6:C5000)</f>
        <v>14294.02</v>
      </c>
      <c r="D2" s="29">
        <f>SUM(D6:D5000)</f>
        <v>3.21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1910.36</v>
      </c>
      <c r="I2" s="29">
        <f t="shared" si="0"/>
        <v>153.62</v>
      </c>
      <c r="J2" s="29">
        <f t="shared" si="0"/>
        <v>0</v>
      </c>
      <c r="K2" s="29">
        <f t="shared" si="0"/>
        <v>1273.5736000000002</v>
      </c>
      <c r="L2" s="29">
        <f t="shared" si="0"/>
        <v>1273.5736000000002</v>
      </c>
      <c r="M2" s="29">
        <f t="shared" si="0"/>
        <v>138.80000000000001</v>
      </c>
      <c r="N2" s="29">
        <f t="shared" si="0"/>
        <v>12400.106400000001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3151</v>
      </c>
      <c r="B6" s="140">
        <v>15773.26</v>
      </c>
      <c r="C6" s="141">
        <v>14256</v>
      </c>
      <c r="D6" s="140">
        <v>0</v>
      </c>
      <c r="E6" s="140">
        <v>0</v>
      </c>
      <c r="F6" s="140">
        <v>0</v>
      </c>
      <c r="G6" s="142">
        <v>0</v>
      </c>
      <c r="H6" s="140">
        <v>1892.79</v>
      </c>
      <c r="I6" s="140">
        <v>152.19</v>
      </c>
      <c r="J6" s="140">
        <v>0</v>
      </c>
      <c r="K6" s="140">
        <v>1261.8608000000002</v>
      </c>
      <c r="L6" s="140">
        <v>1261.8608000000002</v>
      </c>
      <c r="M6" s="140">
        <v>138.80000000000001</v>
      </c>
      <c r="N6" s="140">
        <v>12327.619200000001</v>
      </c>
      <c r="O6" s="142">
        <v>0.78155176545622151</v>
      </c>
      <c r="Q6"/>
    </row>
    <row r="7" spans="1:18" s="31" customFormat="1" x14ac:dyDescent="0.3">
      <c r="A7" s="139" t="s">
        <v>598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3165</v>
      </c>
      <c r="B8" s="140">
        <v>146.41</v>
      </c>
      <c r="C8" s="141">
        <v>38.020000000000003</v>
      </c>
      <c r="D8" s="140">
        <v>3.21</v>
      </c>
      <c r="E8" s="140">
        <v>40</v>
      </c>
      <c r="F8" s="140">
        <v>0</v>
      </c>
      <c r="G8" s="142">
        <v>0.29513011406324707</v>
      </c>
      <c r="H8" s="140">
        <v>17.57</v>
      </c>
      <c r="I8" s="140">
        <v>1.43</v>
      </c>
      <c r="J8" s="140">
        <v>0</v>
      </c>
      <c r="K8" s="140">
        <v>11.7128</v>
      </c>
      <c r="L8" s="140">
        <v>11.7128</v>
      </c>
      <c r="M8" s="140">
        <v>0</v>
      </c>
      <c r="N8" s="140">
        <v>72.487199999999987</v>
      </c>
      <c r="O8" s="142">
        <v>0.49509732941738943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604</v>
      </c>
    </row>
    <row r="2" spans="1:4" x14ac:dyDescent="0.3">
      <c r="B2" s="29">
        <f>SUM(B6:B5000)</f>
        <v>146.41</v>
      </c>
      <c r="C2" s="29">
        <f>SUM(C6:C5000)</f>
        <v>72.487199999999987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590</v>
      </c>
      <c r="B5" s="10">
        <v>15773.26</v>
      </c>
      <c r="C5" s="10">
        <v>12327.619200000001</v>
      </c>
    </row>
    <row r="6" spans="1:4" x14ac:dyDescent="0.3">
      <c r="A6" s="144" t="s">
        <v>598</v>
      </c>
      <c r="B6" s="140">
        <v>146.41</v>
      </c>
      <c r="C6" s="140">
        <v>72.487199999999987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12000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2026-09-21T12:54:01Z</dcterms:modified>
  <cp:category/>
  <cp:contentStatus/>
</cp:coreProperties>
</file>