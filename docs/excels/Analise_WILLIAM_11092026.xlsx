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8705190-E1DD-41B2-B859-DACDD80D27F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<sst xmlns="http://schemas.openxmlformats.org/spreadsheetml/2006/main" count="869" uniqueCount="597">
  <si>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</si>
  <si>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</si>
  <si>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</si>
  <si>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</si>
  <si>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</si>
  <si>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</si>
  <si>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</si>
  <si>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</si>
  <si>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</si>
  <si>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</si>
  <si>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</si>
  <si>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</si>
  <si>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</si>
  <si>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</si>
  <si>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</si>
  <si>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</si>
  <si>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</si>
  <si>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</si>
  <si>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</si>
  <si>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</si>
  <si>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</si>
  <si>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</si>
  <si>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</si>
  <si>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</si>
  <si>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</si>
  <si>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</si>
  <si>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</si>
  <si>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</si>
  <si>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</si>
  <si>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</si>
  <si>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</si>
  <si>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</si>
  <si>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</si>
  <si>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</si>
  <si>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</si>
  <si>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</si>
  <si>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</si>
  <si>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</si>
  <si>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</si>
  <si>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</si>
  <si>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</si>
  <si>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</si>
  <si>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</si>
  <si>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</si>
  <si>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</si>
  <si>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</si>
  <si>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</si>
  <si>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</si>
  <si>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</si>
  <si>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</si>
  <si>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</si>
  <si>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</si>
  <si>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</si>
  <si>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</si>
  <si>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</si>
  <si>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</si>
  <si>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</si>
  <si>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</si>
  <si>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</si>
  <si>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</si>
  <si>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</si>
  <si>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</si>
  <si>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</si>
  <si>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</si>
  <si>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</si>
  <si>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</si>
  <si>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</si>
  <si>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</si>
  <si>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</si>
  <si>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</si>
  <si>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</si>
  <si>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</si>
  <si>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</si>
  <si>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</si>
  <si>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</si>
  <si>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</si>
  <si>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</si>
  <si>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</si>
  <si>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</si>
  <si>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</si>
  <si>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</si>
  <si>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</si>
  <si>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</si>
  <si>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</si>
  <si>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</si>
  <si>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</si>
  <si>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</si>
  <si>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</si>
  <si>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</si>
  <si>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</si>
  <si>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</si>
  <si>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</si>
  <si>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</si>
  <si>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</si>
  <si>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</si>
  <si>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</si>
  <si>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</si>
  <si>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</si>
  <si>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</si>
  <si>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</si>
  <si>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</si>
  <si>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</si>
  <si>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</si>
  <si>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</si>
  <si>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</si>
  <si>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</si>
  <si>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</si>
  <si>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</si>
  <si>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</si>
  <si>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</si>
  <si>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</si>
  <si>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</si>
  <si>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</si>
  <si>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</si>
  <si>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</si>
  <si>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</si>
  <si>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</si>
  <si>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</si>
  <si>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</si>
  <si>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</si>
  <si>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</si>
  <si>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</si>
  <si>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</si>
  <si>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</si>
  <si>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</si>
  <si>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</si>
  <si>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</si>
  <si>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</si>
  <si>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</si>
  <si>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</si>
  <si>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</si>
  <si>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</si>
  <si>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</si>
  <si>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</si>
  <si>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</si>
  <si>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</si>
  <si>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</si>
  <si>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</si>
  <si>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</si>
  <si>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</si>
  <si>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</si>
  <si>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</si>
  <si>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</si>
  <si>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</si>
  <si>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</si>
  <si>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</si>
  <si>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</si>
  <si>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</si>
  <si>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</si>
  <si>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</si>
  <si>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</si>
  <si>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</si>
  <si>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</si>
  <si>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</si>
  <si>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</si>
  <si>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</si>
  <si>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</si>
  <si>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</si>
  <si>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</si>
  <si>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</si>
  <si>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</si>
  <si>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</si>
  <si>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</si>
  <si>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</si>
  <si>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</si>
  <si>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</si>
  <si>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</si>
  <si>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</si>
  <si>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</si>
  <si>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</si>
  <si>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</si>
  <si>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</si>
  <si>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</si>
  <si>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</si>
  <si>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</si>
  <si>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</si>
  <si>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</si>
  <si>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</si>
  <si>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</si>
  <si>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</si>
  <si>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</si>
  <si>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</si>
  <si>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</si>
  <si>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</si>
  <si>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</si>
  <si>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</si>
  <si>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</si>
  <si>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</si>
  <si>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</si>
  <si>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</si>
  <si>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</si>
  <si>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</si>
  <si>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</si>
  <si>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</si>
  <si>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</si>
  <si>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</si>
  <si>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</si>
  <si>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</si>
  <si>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</si>
  <si>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</si>
  <si>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</si>
  <si>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</si>
  <si>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</si>
  <si>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</si>
  <si>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</si>
  <si>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</si>
  <si>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</si>
  <si>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</si>
  <si>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</si>
  <si>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</si>
  <si>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</si>
  <si>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</si>
  <si>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</si>
  <si>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</si>
  <si>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</si>
  <si>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</si>
  <si>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</si>
  <si>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</si>
  <si>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</si>
  <si>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</si>
  <si>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</si>
  <si>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</si>
  <si>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</si>
  <si>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</si>
  <si>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</si>
  <si>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</si>
  <si>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</si>
  <si>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</si>
  <si>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</si>
  <si>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</si>
  <si>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</si>
  <si>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</si>
  <si>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</si>
  <si>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</si>
  <si>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</si>
  <si>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</si>
  <si>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</si>
  <si>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</si>
  <si>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</si>
  <si>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</si>
  <si>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</si>
  <si>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</si>
  <si>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</si>
  <si>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</si>
  <si>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</si>
  <si>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</si>
  <si>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</si>
  <si>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</si>
  <si>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</si>
  <si>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</si>
  <si>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</si>
  <si>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</si>
  <si>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</si>
  <si>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</si>
  <si>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</si>
  <si>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</si>
  <si>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</si>
  <si>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</si>
  <si>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</si>
  <si>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</si>
  <si>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</si>
  <si>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</si>
  <si>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</si>
  <si>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</si>
  <si>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</si>
  <si>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</si>
  <si>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</si>
  <si>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</si>
  <si>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</si>
  <si>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</si>
  <si>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</si>
  <si>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</si>
  <si>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</si>
  <si>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</si>
  <si>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</si>
  <si>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</si>
  <si>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</si>
  <si>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</si>
  <si>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</si>
  <si>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</si>
  <si>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</si>
  <si>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</si>
  <si>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</si>
  <si>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</si>
  <si>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</si>
  <si>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</si>
  <si>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</si>
  <si>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</si>
  <si>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</si>
  <si>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</si>
  <si>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</si>
  <si>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</si>
  <si>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</si>
  <si>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</si>
  <si>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</si>
  <si>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</si>
  <si>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</si>
  <si>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</si>
  <si>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</si>
  <si>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</si>
  <si>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</si>
  <si>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</si>
  <si>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</si>
  <si>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</si>
  <si>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</si>
  <si>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</si>
  <si>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</si>
  <si>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</si>
  <si>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</si>
  <si>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</si>
  <si>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</si>
  <si>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</si>
  <si>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</si>
  <si>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</si>
  <si>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</si>
  <si>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</si>
  <si>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</si>
  <si>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</si>
  <si>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</si>
  <si>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</si>
  <si>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</si>
  <si>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</si>
  <si>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</si>
  <si>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</si>
  <si>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</si>
  <si>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</si>
  <si>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</si>
  <si>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</si>
  <si>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</si>
  <si>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</si>
  <si>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</si>
  <si>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</si>
  <si>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</si>
  <si>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</si>
  <si>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</si>
  <si>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</si>
  <si>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</si>
  <si>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</si>
  <si>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</si>
  <si>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</si>
  <si>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</si>
  <si>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</si>
  <si>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</si>
  <si>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</si>
  <si>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</si>
  <si>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</si>
  <si>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</si>
  <si>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</si>
  <si>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</si>
  <si>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</si>
  <si>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</si>
  <si>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</si>
  <si>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</si>
  <si>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</si>
  <si>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</si>
  <si>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</si>
  <si>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</si>
  <si>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</si>
  <si>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</si>
  <si>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</si>
  <si>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</si>
  <si>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</si>
  <si>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</si>
  <si>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</si>
  <si>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</si>
  <si>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</si>
  <si>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</si>
  <si>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</si>
  <si>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</si>
  <si>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</si>
  <si>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</si>
  <si>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</si>
  <si>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</si>
  <si>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</si>
  <si>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</si>
  <si>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</si>
  <si>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</si>
  <si>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</si>
  <si>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</si>
  <si>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</si>
  <si>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</si>
  <si>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</si>
  <si>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</si>
  <si>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</si>
  <si>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</si>
  <si>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</si>
  <si>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</si>
  <si>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</si>
  <si>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</si>
  <si>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</si>
  <si>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</si>
  <si>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</si>
  <si>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</si>
  <si>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</si>
  <si>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</si>
  <si>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</si>
  <si>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</si>
  <si>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</si>
  <si>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</si>
  <si>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</si>
  <si>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</si>
  <si>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</si>
  <si>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</si>
  <si>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</si>
  <si>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</si>
  <si>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</si>
  <si>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</si>
  <si>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</si>
  <si>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</si>
  <si>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</si>
  <si>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</si>
  <si>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</si>
  <si>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</si>
  <si>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</si>
  <si>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</si>
  <si>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</si>
  <si>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</si>
  <si>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</si>
  <si>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</si>
  <si>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</si>
  <si>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</si>
  <si>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</si>
  <si>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</si>
  <si>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</si>
  <si>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</si>
  <si>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</si>
  <si>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</si>
  <si>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</si>
  <si>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</si>
  <si>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</si>
  <si>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</si>
  <si>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</si>
  <si>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</si>
  <si>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</si>
  <si>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</si>
  <si>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</si>
  <si>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</si>
  <si>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</si>
  <si>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</si>
  <si>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</si>
  <si>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</si>
  <si>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</si>
  <si>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</si>
  <si>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</si>
  <si>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</si>
  <si>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</si>
  <si>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</si>
  <si>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</si>
  <si>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</si>
  <si>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</si>
  <si>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</si>
  <si>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</si>
  <si>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</si>
  <si>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</si>
  <si>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</si>
  <si>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</si>
  <si>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</si>
  <si>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</si>
  <si>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</si>
  <si>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</si>
  <si>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</si>
  <si>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</si>
  <si>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</si>
  <si>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</si>
  <si>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</si>
  <si>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</si>
  <si>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</si>
  <si>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</si>
  <si>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</si>
  <si>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</si>
  <si>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</si>
  <si>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</si>
  <si>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</si>
  <si>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</si>
  <si>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</si>
  <si>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</si>
  <si>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</si>
  <si>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</si>
  <si>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</si>
  <si>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</si>
  <si>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</si>
  <si>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</si>
  <si>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</si>
  <si>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</si>
  <si>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</si>
  <si>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</si>
  <si>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</si>
  <si>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</si>
  <si>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</si>
  <si>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</si>
  <si>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</si>
  <si>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</si>
  <si>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</si>
  <si>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</si>
  <si>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</si>
  <si>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</si>
  <si>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</si>
  <si>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</si>
  <si>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</si>
  <si>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</si>
  <si>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</si>
  <si>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</si>
  <si>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</si>
  <si>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</si>
  <si>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</si>
  <si>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</si>
  <si>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</si>
  <si>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</si>
  <si>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</si>
  <si>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</si>
  <si>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</si>
  <si>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</si>
  <si>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</si>
  <si>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</si>
  <si>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</si>
  <si>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</si>
  <si>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</si>
  <si>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</si>
  <si>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</si>
  <si>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</si>
  <si>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</si>
  <si>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</si>
  <si>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</si>
  <si>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</si>
  <si>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</si>
  <si>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</si>
  <si>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</si>
  <si>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</si>
  <si>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</si>
  <si>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</si>
  <si>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</si>
  <si>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</si>
  <si>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</si>
  <si>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</si>
  <si>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</si>
  <si>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</si>
  <si>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</si>
  <si>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</si>
  <si>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</si>
  <si>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</si>
  <si>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</si>
  <si>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</si>
  <si>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</si>
  <si>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</si>
  <si>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</si>
  <si>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</si>
  <si>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</si>
  <si>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</si>
  <si>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</si>
  <si>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</si>
  <si>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</si>
  <si>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</si>
  <si>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</si>
  <si>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</si>
  <si>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</si>
  <si>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</si>
  <si>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</si>
  <si>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</si>
  <si>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</si>
  <si>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</si>
  <si>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</si>
  <si>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</si>
  <si>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</si>
  <si>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</si>
  <si>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</si>
  <si>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</si>
  <si>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</si>
  <si>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</si>
  <si>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</si>
  <si>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</si>
  <si>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</si>
  <si>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</si>
  <si>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</si>
  <si>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</si>
  <si>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</si>
  <si>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</si>
  <si>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</si>
  <si>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</si>
  <si>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</si>
  <si>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</si>
  <si>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203027-1</t>
  </si>
  <si>
    <t>KORYEO TRADE IM</t>
  </si>
  <si>
    <t>TIAGO SANTANA</t>
  </si>
  <si>
    <t>ECONOMICO_250</t>
  </si>
  <si>
    <t>CTE NORMAL</t>
  </si>
  <si>
    <t>SAO PAULO - SP</t>
  </si>
  <si>
    <t>WILSON FERNANDES DA SILVA</t>
  </si>
  <si>
    <t>JOSE EMILTON DA COSTA - O</t>
  </si>
  <si>
    <t>WILLIAM LUIZ WEEGE</t>
  </si>
  <si>
    <t>203091-1</t>
  </si>
  <si>
    <t>FORTE TRANSPORT</t>
  </si>
  <si>
    <t>MURILO PEREIRA</t>
  </si>
  <si>
    <t>SUBCONTRATO_PER</t>
  </si>
  <si>
    <t>MOGI GUACU - SP</t>
  </si>
  <si>
    <t>JOSENIR DE SOUZA CUNHA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</si>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</sst>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KORYEO TRADE IM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5996.56</c:v>
                </c:pt>
                <c:pt idx="1">
                  <c:v>122.5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KORYEO TRADE IM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5481.4552000000003</c:v>
                </c:pt>
                <c:pt idx="1">
                  <c:v>46.289999999999992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[Analise_WILLIAM_11092026.xlsx]Resumo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KORYEO TRADE IM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5996.56</c:v>
                </c:pt>
                <c:pt idx="1">
                  <c:v>122.5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KORYEO TRADE IM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5481.4552000000003</c:v>
                </c:pt>
                <c:pt idx="1">
                  <c:v>46.289999999999992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055682870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0849" count="8000">
        <n v="300623"/>
        <n v="30084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1T00:00:00" maxDate="2026-09-12T00:00:00"/>
    </cacheField>
    <cacheField name="DATA" numFmtId="14">
      <sharedItems containsNonDate="0" containsDate="1" containsString="0" containsBlank="1" minDate="2026-09-11T00:00:00" maxDate="2026-09-1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KORYEO TRADE IM"/>
        <s v="FORTE TRANSPORT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95" maxValue="49141.82"/>
    </cacheField>
    <cacheField name="SERVICO" numFmtId="0">
      <sharedItems containsBlank="1" count="27">
        <s v="ECONOMICO_250"/>
        <s v="SUBCONTRATO_PER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2.5" maxValue="5996.56"/>
    </cacheField>
    <cacheField name="VOLUMES" numFmtId="0">
      <sharedItems containsString="0" containsBlank="1" containsNumber="1" containsInteger="1" minValue="4" maxValue="7"/>
    </cacheField>
    <cacheField name="PESO" numFmtId="0">
      <sharedItems containsString="0" containsBlank="1" containsNumber="1" containsInteger="1" minValue="52" maxValue="111"/>
    </cacheField>
    <cacheField name="RESP. COLETA" numFmtId="0">
      <sharedItems containsBlank="1"/>
    </cacheField>
    <cacheField name="CUSTO COLETA" numFmtId="0">
      <sharedItems containsString="0" containsBlank="1" containsNumber="1" minValue="10.81" maxValue="11.1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4.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6" maxValue="24.5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59.66" maxValue="1942.13"/>
    </cacheField>
    <cacheField name="RECEITA" numFmtId="0">
      <sharedItems containsString="0" containsBlank="1" containsNumber="1" minValue="-837.16" maxValue="4054.43"/>
    </cacheField>
    <cacheField name="IMPOSTO" numFmtId="0">
      <sharedItems containsString="0" containsBlank="1" containsNumber="1" minValue="31.85" maxValue="1559.11"/>
    </cacheField>
    <cacheField name="RESULTADO" numFmtId="0">
      <sharedItems containsString="0" containsBlank="1" containsNumber="1" minValue="-869.01" maxValue="2495.3200000000002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869.01" maxValue="2495.3200000000002"/>
    </cacheField>
    <cacheField name="MARGEM" numFmtId="10">
      <sharedItems containsString="0" containsBlank="1" containsNumber="1" minValue="-7.0939999999999994" maxValue="0.4160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1T00:00:00"/>
    <d v="2026-09-11T00:00:00"/>
    <m/>
    <s v="203027-1"/>
    <x v="0"/>
    <s v="TIAGO SANTANA"/>
    <n v="1195"/>
    <x v="0"/>
    <s v="CTE NORMAL"/>
    <s v="SAO PAULO - SP"/>
    <n v="122.5"/>
    <n v="4"/>
    <n v="52"/>
    <s v="WILSON FERNANDES DA SILVA"/>
    <n v="11.11"/>
    <s v="JOSE EMILTON DA COSTA - O"/>
    <n v="40"/>
    <s v="WILLIAM LUIZ WEEGE"/>
    <n v="0"/>
    <n v="14.7"/>
    <n v="0"/>
    <n v="0"/>
    <n v="0.6"/>
    <n v="0"/>
    <n v="959.66"/>
    <n v="-837.16"/>
    <n v="31.85"/>
    <n v="-869.01"/>
    <n v="0"/>
    <n v="-869.01"/>
    <n v="-7.0939999999999994"/>
    <m/>
  </r>
  <r>
    <x v="1"/>
    <s v="MATRIZ"/>
    <d v="2026-09-11T00:00:00"/>
    <d v="2026-09-11T00:00:00"/>
    <m/>
    <s v="203091-1"/>
    <x v="1"/>
    <s v="MURILO PEREIRA"/>
    <n v="49141.82"/>
    <x v="1"/>
    <s v="CTE NORMAL"/>
    <s v="MOGI GUACU - SP"/>
    <n v="5996.56"/>
    <n v="7"/>
    <n v="111"/>
    <s v="JOSENIR DE SOUZA CUNHA"/>
    <n v="10.81"/>
    <s v="N/D"/>
    <n v="0"/>
    <s v="WILLIAM LUIZ WEEGE"/>
    <n v="0"/>
    <n v="0"/>
    <n v="0"/>
    <n v="0"/>
    <n v="24.57"/>
    <n v="0"/>
    <n v="1942.13"/>
    <n v="4054.43"/>
    <n v="1559.11"/>
    <n v="2495.3200000000002"/>
    <n v="0"/>
    <n v="2495.3200000000002"/>
    <n v="0.41609999999999997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6"/>
        <item m="1" x="249"/>
        <item sd="0" m="1" x="764"/>
        <item m="1" x="425"/>
        <item m="1" x="436"/>
        <item m="1" x="168"/>
        <item m="1" x="543"/>
        <item m="1" x="806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4"/>
        <item m="1" x="628"/>
        <item m="1" x="375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x="1"/>
        <item m="1" x="42"/>
        <item m="1" x="805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4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x="0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1"/>
        <item m="1" x="854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m="1" x="367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5"/>
        <item m="1" x="823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4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4"/>
        <item m="1" x="501"/>
        <item sd="0" m="1" x="147"/>
        <item m="1" x="171"/>
        <item m="1" x="585"/>
        <item m="1" x="803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6"/>
        <item sd="0" m="1" x="409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0"/>
        <item m="1" x="693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8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x="1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91"/>
    </i>
    <i r="1">
      <x v="7999"/>
    </i>
    <i>
      <x v="417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1"/>
        <item m="1" x="506"/>
        <item sd="0" m="1" x="554"/>
        <item m="1" x="477"/>
        <item sd="0" m="1" x="245"/>
        <item m="1" x="848"/>
        <item m="1" x="832"/>
        <item m="1" x="743"/>
        <item m="1" x="241"/>
        <item m="1" x="240"/>
        <item m="1" x="462"/>
        <item m="1" x="287"/>
        <item m="1" x="550"/>
        <item m="1" x="845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6"/>
        <item m="1" x="249"/>
        <item sd="0" m="1" x="764"/>
        <item m="1" x="425"/>
        <item m="1" x="436"/>
        <item m="1" x="168"/>
        <item m="1" x="543"/>
        <item m="1" x="806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7"/>
        <item m="1" x="353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4"/>
        <item m="1" x="628"/>
        <item m="1" x="375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6"/>
        <item m="1" x="433"/>
        <item m="1" x="709"/>
        <item m="1" x="211"/>
        <item m="1" x="439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x="1"/>
        <item m="1" x="42"/>
        <item m="1" x="805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7"/>
        <item m="1" x="380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69"/>
        <item sd="0" m="1" x="336"/>
        <item sd="0" m="1" x="176"/>
        <item m="1" x="420"/>
        <item m="1" x="702"/>
        <item m="1" x="698"/>
        <item m="1" x="379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8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8"/>
        <item m="1" x="769"/>
        <item sd="0" m="1" x="804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x="0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7"/>
        <item m="1" x="70"/>
        <item m="1" x="119"/>
        <item m="1" x="646"/>
        <item m="1" x="411"/>
        <item m="1" x="854"/>
        <item m="1" x="432"/>
        <item m="1" x="570"/>
        <item m="1" x="488"/>
        <item m="1" x="183"/>
        <item sd="0" m="1" x="374"/>
        <item m="1" x="243"/>
        <item m="1" x="338"/>
        <item m="1" x="528"/>
        <item m="1" x="423"/>
        <item m="1" x="789"/>
        <item m="1" x="302"/>
        <item m="1" x="310"/>
        <item m="1" x="367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2"/>
        <item m="1" x="371"/>
        <item m="1" x="247"/>
        <item m="1" x="398"/>
        <item sd="0" m="1" x="482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7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5"/>
        <item m="1" x="823"/>
        <item m="1" x="337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4"/>
        <item m="1" x="359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4"/>
        <item m="1" x="501"/>
        <item sd="0" m="1" x="147"/>
        <item m="1" x="171"/>
        <item m="1" x="585"/>
        <item m="1" x="803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2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6"/>
        <item sd="0" m="1" x="409"/>
        <item m="1" x="474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0"/>
        <item m="1" x="693"/>
        <item m="1" x="442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5"/>
        <item m="1" x="577"/>
        <item m="1" x="361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4"/>
        <item m="1" x="36"/>
        <item m="1" x="312"/>
        <item m="1" x="825"/>
        <item m="1" x="563"/>
        <item m="1" x="63"/>
        <item m="1" x="569"/>
        <item m="1" x="431"/>
        <item m="1" x="426"/>
        <item m="1" x="177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8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x="1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91"/>
    </i>
    <i>
      <x v="417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1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2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2" s="1" nd="1"/>
        <i x="21" s="1" nd="1"/>
        <i x="758" s="1" nd="1"/>
        <i x="113" s="1" nd="1"/>
        <i x="545" s="1" nd="1"/>
        <i x="828" s="1" nd="1"/>
        <i x="271" s="1" nd="1"/>
        <i x="479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09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1" s="1" nd="1"/>
        <i x="506" s="1" nd="1"/>
        <i x="554" s="1" nd="1"/>
        <i x="477" s="1" nd="1"/>
        <i x="245" s="1" nd="1"/>
        <i x="848" s="1" nd="1"/>
        <i x="832" s="1" nd="1"/>
        <i x="743" s="1" nd="1"/>
        <i x="241" s="1" nd="1"/>
        <i x="240" s="1" nd="1"/>
        <i x="462" s="1" nd="1"/>
        <i x="287" s="1" nd="1"/>
        <i x="550" s="1" nd="1"/>
        <i x="845" s="1" nd="1"/>
        <i x="445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8" s="1" nd="1"/>
        <i x="516" s="1" nd="1"/>
        <i x="319" s="1" nd="1"/>
        <i x="592" s="1" nd="1"/>
        <i x="596" s="1" nd="1"/>
        <i x="733" s="1" nd="1"/>
        <i x="786" s="1" nd="1"/>
        <i x="184" s="1" nd="1"/>
        <i x="835" s="1" nd="1"/>
        <i x="712" s="1" nd="1"/>
        <i x="378" s="1" nd="1"/>
        <i x="208" s="1" nd="1"/>
        <i x="522" s="1" nd="1"/>
        <i x="463" s="1" nd="1"/>
        <i x="139" s="1" nd="1"/>
        <i x="662" s="1" nd="1"/>
        <i x="372" s="1" nd="1"/>
        <i x="155" s="1" nd="1"/>
        <i x="252" s="1" nd="1"/>
        <i x="629" s="1" nd="1"/>
        <i x="737" s="1" nd="1"/>
        <i x="421" s="1" nd="1"/>
        <i x="81" s="1" nd="1"/>
        <i x="697" s="1" nd="1"/>
        <i x="285" s="1" nd="1"/>
        <i x="846" s="1" nd="1"/>
        <i x="249" s="1" nd="1"/>
        <i x="764" s="1" nd="1"/>
        <i x="425" s="1" nd="1"/>
        <i x="436" s="1" nd="1"/>
        <i x="168" s="1" nd="1"/>
        <i x="543" s="1" nd="1"/>
        <i x="806" s="1" nd="1"/>
        <i x="621" s="1" nd="1"/>
        <i x="5" s="1" nd="1"/>
        <i x="771" s="1" nd="1"/>
        <i x="15" s="1" nd="1"/>
        <i x="740" s="1" nd="1"/>
        <i x="393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9" s="1" nd="1"/>
        <i x="437" s="1" nd="1"/>
        <i x="353" s="1" nd="1"/>
        <i x="572" s="1" nd="1"/>
        <i x="568" s="1" nd="1"/>
        <i x="734" s="1" nd="1"/>
        <i x="756" s="1" nd="1"/>
        <i x="121" s="1" nd="1"/>
        <i x="390" s="1" nd="1"/>
        <i x="89" s="1" nd="1"/>
        <i x="382" s="1" nd="1"/>
        <i x="814" s="1" nd="1"/>
        <i x="396" s="1" nd="1"/>
        <i x="259" s="1" nd="1"/>
        <i x="377" s="1" nd="1"/>
        <i x="849" s="1" nd="1"/>
        <i x="648" s="1" nd="1"/>
        <i x="853" s="1" nd="1"/>
        <i x="829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6" s="1" nd="1"/>
        <i x="840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4" s="1" nd="1"/>
        <i x="628" s="1" nd="1"/>
        <i x="375" s="1" nd="1"/>
        <i x="807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6" s="1" nd="1"/>
        <i x="433" s="1" nd="1"/>
        <i x="709" s="1" nd="1"/>
        <i x="211" s="1" nd="1"/>
        <i x="439" s="1" nd="1"/>
        <i x="103" s="1" nd="1"/>
        <i x="197" s="1" nd="1"/>
        <i x="831" s="1" nd="1"/>
        <i x="765" s="1" nd="1"/>
        <i x="509" s="1" nd="1"/>
        <i x="821" s="1" nd="1"/>
        <i x="342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4" s="1" nd="1"/>
        <i x="415" s="1" nd="1"/>
        <i x="419" s="1" nd="1"/>
        <i x="42" s="1" nd="1"/>
        <i x="805" s="1" nd="1"/>
        <i x="487" s="1" nd="1"/>
        <i x="443" s="1" nd="1"/>
        <i x="399" s="1" nd="1"/>
        <i x="609" s="1" nd="1"/>
        <i x="154" s="1" nd="1"/>
        <i x="16" s="1" nd="1"/>
        <i x="233" s="1" nd="1"/>
        <i x="242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6" s="1" nd="1"/>
        <i x="317" s="1" nd="1"/>
        <i x="380" s="1" nd="1"/>
        <i x="540" s="1" nd="1"/>
        <i x="315" s="1" nd="1"/>
        <i x="340" s="1" nd="1"/>
        <i x="772" s="1" nd="1"/>
        <i x="144" s="1" nd="1"/>
        <i x="667" s="1" nd="1"/>
        <i x="839" s="1" nd="1"/>
        <i x="39" s="1" nd="1"/>
        <i x="383" s="1" nd="1"/>
        <i x="590" s="1" nd="1"/>
        <i x="748" s="1" nd="1"/>
        <i x="270" s="1" nd="1"/>
        <i x="18" s="1" nd="1"/>
        <i x="638" s="1" nd="1"/>
        <i x="389" s="1" nd="1"/>
        <i x="480" s="1" nd="1"/>
        <i x="345" s="1" nd="1"/>
        <i x="738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69" s="1" nd="1"/>
        <i x="336" s="1" nd="1"/>
        <i x="176" s="1" nd="1"/>
        <i x="420" s="1" nd="1"/>
        <i x="702" s="1" nd="1"/>
        <i x="698" s="1" nd="1"/>
        <i x="379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8" s="1" nd="1"/>
        <i x="815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6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4" s="1" nd="1"/>
        <i x="742" s="1" nd="1"/>
        <i x="195" s="1" nd="1"/>
        <i x="747" s="1" nd="1"/>
        <i x="384" s="1" nd="1"/>
        <i x="138" s="1" nd="1"/>
        <i x="659" s="1" nd="1"/>
        <i x="430" s="1" nd="1"/>
        <i x="665" s="1" nd="1"/>
        <i x="493" s="1" nd="1"/>
        <i x="686" s="1" nd="1"/>
        <i x="328" s="1" nd="1"/>
        <i x="769" s="1" nd="1"/>
        <i x="804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7" s="1" nd="1"/>
        <i x="125" s="1" nd="1"/>
        <i x="465" s="1" nd="1"/>
        <i x="701" s="1" nd="1"/>
        <i x="428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3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7" s="1" nd="1"/>
        <i x="70" s="1" nd="1"/>
        <i x="119" s="1" nd="1"/>
        <i x="646" s="1" nd="1"/>
        <i x="411" s="1" nd="1"/>
        <i x="854" s="1" nd="1"/>
        <i x="432" s="1" nd="1"/>
        <i x="570" s="1" nd="1"/>
        <i x="488" s="1" nd="1"/>
        <i x="183" s="1" nd="1"/>
        <i x="374" s="1" nd="1"/>
        <i x="243" s="1" nd="1"/>
        <i x="338" s="1" nd="1"/>
        <i x="528" s="1" nd="1"/>
        <i x="423" s="1" nd="1"/>
        <i x="789" s="1" nd="1"/>
        <i x="302" s="1" nd="1"/>
        <i x="310" s="1" nd="1"/>
        <i x="367" s="1" nd="1"/>
        <i x="491" s="1" nd="1"/>
        <i x="663" s="1" nd="1"/>
        <i x="189" s="1" nd="1"/>
        <i x="660" s="1" nd="1"/>
        <i x="222" s="1" nd="1"/>
        <i x="449" s="1" nd="1"/>
        <i x="148" s="1" nd="1"/>
        <i x="363" s="1" nd="1"/>
        <i x="264" s="1" nd="1"/>
        <i x="292" s="1" nd="1"/>
        <i x="541" s="1" nd="1"/>
        <i x="810" s="1" nd="1"/>
        <i x="604" s="1" nd="1"/>
        <i x="32" s="1" nd="1"/>
        <i x="269" s="1" nd="1"/>
        <i x="752" s="1" nd="1"/>
        <i x="371" s="1" nd="1"/>
        <i x="247" s="1" nd="1"/>
        <i x="398" s="1" nd="1"/>
        <i x="482" s="1" nd="1"/>
        <i x="339" s="1" nd="1"/>
        <i x="613" s="1" nd="1"/>
        <i x="673" s="1" nd="1"/>
        <i x="838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19" s="1" nd="1"/>
        <i x="170" s="1" nd="1"/>
        <i x="710" s="1" nd="1"/>
        <i x="172" s="1" nd="1"/>
        <i x="587" s="1" nd="1"/>
        <i x="228" s="1" nd="1"/>
        <i x="391" s="1" nd="1"/>
        <i x="658" s="1" nd="1"/>
        <i x="311" s="1" nd="1"/>
        <i x="75" s="1" nd="1"/>
        <i x="670" s="1" nd="1"/>
        <i x="95" s="1" nd="1"/>
        <i x="440" s="1" nd="1"/>
        <i x="352" s="1" nd="1"/>
        <i x="785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7" s="1" nd="1"/>
        <i x="321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4" s="1" nd="1"/>
        <i x="475" s="1" nd="1"/>
        <i x="812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5" s="1" nd="1"/>
        <i x="823" s="1" nd="1"/>
        <i x="337" s="1" nd="1"/>
        <i x="524" s="1" nd="1"/>
        <i x="248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8" s="1" nd="1"/>
        <i x="283" s="1" nd="1"/>
        <i x="324" s="1" nd="1"/>
        <i x="844" s="1" nd="1"/>
        <i x="359" s="1" nd="1"/>
        <i x="387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4" s="1" nd="1"/>
        <i x="501" s="1" nd="1"/>
        <i x="147" s="1" nd="1"/>
        <i x="171" s="1" nd="1"/>
        <i x="585" s="1" nd="1"/>
        <i x="803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3" s="1" nd="1"/>
        <i x="586" s="1" nd="1"/>
        <i x="797" s="1" nd="1"/>
        <i x="727" s="1" nd="1"/>
        <i x="412" s="1" nd="1"/>
        <i x="26" s="1" nd="1"/>
        <i x="343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1" s="1" nd="1"/>
        <i x="444" s="1" nd="1"/>
        <i x="194" s="1" nd="1"/>
        <i x="307" s="1" nd="1"/>
        <i x="341" s="1" nd="1"/>
        <i x="97" s="1" nd="1"/>
        <i x="695" s="1" nd="1"/>
        <i x="306" s="1" nd="1"/>
        <i x="356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6" s="1" nd="1"/>
        <i x="409" s="1" nd="1"/>
        <i x="474" s="1" nd="1"/>
        <i x="837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5" s="1" nd="1"/>
        <i x="745" s="1" nd="1"/>
        <i x="80" s="1" nd="1"/>
        <i x="52" s="1" nd="1"/>
        <i x="851" s="1" nd="1"/>
        <i x="30" s="1" nd="1"/>
        <i x="571" s="1" nd="1"/>
        <i x="513" s="1" nd="1"/>
        <i x="413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5" s="1" nd="1"/>
        <i x="410" s="1" nd="1"/>
        <i x="693" s="1" nd="1"/>
        <i x="442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5" s="1" nd="1"/>
        <i x="577" s="1" nd="1"/>
        <i x="361" s="1" nd="1"/>
        <i x="451" s="1" nd="1"/>
        <i x="514" s="1" nd="1"/>
        <i x="123" s="1" nd="1"/>
        <i x="647" s="1" nd="1"/>
        <i x="49" s="1" nd="1"/>
        <i x="416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7" s="1" nd="1"/>
        <i x="230" s="1" nd="1"/>
        <i x="8" s="1" nd="1"/>
        <i x="473" s="1" nd="1"/>
        <i x="824" s="1" nd="1"/>
        <i x="36" s="1" nd="1"/>
        <i x="312" s="1" nd="1"/>
        <i x="825" s="1" nd="1"/>
        <i x="563" s="1" nd="1"/>
        <i x="63" s="1" nd="1"/>
        <i x="569" s="1" nd="1"/>
        <i x="431" s="1" nd="1"/>
        <i x="426" s="1" nd="1"/>
        <i x="177" s="1" nd="1"/>
        <i x="366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8" s="1" nd="1"/>
        <i x="19" s="1" nd="1"/>
        <i x="4" s="1" nd="1"/>
        <i x="23" s="1" nd="1"/>
        <i x="7" s="1" nd="1"/>
        <i x="22" s="1" nd="1"/>
        <i x="21" s="1" nd="1"/>
        <i x="12" s="1" nd="1"/>
        <i x="17" s="1" nd="1"/>
        <i x="20" s="1" nd="1"/>
        <i x="3" s="1" nd="1"/>
        <i x="25" s="1" nd="1"/>
        <i x="11" s="1" nd="1"/>
        <i x="14" s="1" nd="1"/>
        <i x="10" s="1" nd="1"/>
        <i x="9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300623</v>
      </c>
      <c r="B2" s="12" t="s">
        <v>579</v>
      </c>
      <c r="C2" s="14">
        <v>46276</v>
      </c>
      <c r="D2" s="14">
        <v>46276</v>
      </c>
      <c r="E2" s="12"/>
      <c r="F2" s="15" t="s">
        <v>580</v>
      </c>
      <c r="G2" s="15" t="s">
        <v>581</v>
      </c>
      <c r="H2" s="15" t="s">
        <v>582</v>
      </c>
      <c r="I2" s="16">
        <v>1195</v>
      </c>
      <c r="J2" s="15" t="s">
        <v>583</v>
      </c>
      <c r="K2" s="15" t="s">
        <v>584</v>
      </c>
      <c r="L2" s="15" t="s">
        <v>585</v>
      </c>
      <c r="M2" s="15">
        <v>122.5</v>
      </c>
      <c r="N2" s="15">
        <v>4</v>
      </c>
      <c r="O2" s="16">
        <v>52</v>
      </c>
      <c r="P2" s="15" t="s">
        <v>586</v>
      </c>
      <c r="Q2" s="15">
        <v>11.11</v>
      </c>
      <c r="R2" s="15" t="s">
        <v>587</v>
      </c>
      <c r="S2" s="15">
        <v>40</v>
      </c>
      <c r="T2" s="15" t="s">
        <v>588</v>
      </c>
      <c r="U2" s="15">
        <v>0</v>
      </c>
      <c r="V2" s="15">
        <v>14.7</v>
      </c>
      <c r="W2" s="15">
        <v>0</v>
      </c>
      <c r="X2" s="15">
        <v>0</v>
      </c>
      <c r="Y2" s="15">
        <v>0.6</v>
      </c>
      <c r="Z2" s="15">
        <v>0</v>
      </c>
      <c r="AA2" s="15">
        <v>959.66</v>
      </c>
      <c r="AB2" s="15">
        <v>-837.16</v>
      </c>
      <c r="AC2" s="15">
        <v>31.85</v>
      </c>
      <c r="AD2" s="15">
        <v>-869.01</v>
      </c>
      <c r="AE2" s="15">
        <v>0</v>
      </c>
      <c r="AF2" s="15">
        <v>-869.01</v>
      </c>
      <c r="AG2" s="17">
        <v>-7.0939999999999994</v>
      </c>
      <c r="AH2" s="15"/>
    </row>
    <row r="3" spans="1:34" s="1" customFormat="1" ht="12" customHeight="1" x14ac:dyDescent="0.3">
      <c r="A3" s="13">
        <v>300849</v>
      </c>
      <c r="B3" s="12" t="s">
        <v>579</v>
      </c>
      <c r="C3" s="14">
        <v>46276</v>
      </c>
      <c r="D3" s="14">
        <v>46276</v>
      </c>
      <c r="E3" s="12"/>
      <c r="F3" s="15" t="s">
        <v>589</v>
      </c>
      <c r="G3" s="15" t="s">
        <v>590</v>
      </c>
      <c r="H3" s="15" t="s">
        <v>591</v>
      </c>
      <c r="I3" s="16">
        <v>49141.82</v>
      </c>
      <c r="J3" s="15" t="s">
        <v>592</v>
      </c>
      <c r="K3" s="15" t="s">
        <v>584</v>
      </c>
      <c r="L3" s="15" t="s">
        <v>593</v>
      </c>
      <c r="M3" s="16">
        <v>5996.56</v>
      </c>
      <c r="N3" s="15">
        <v>7</v>
      </c>
      <c r="O3" s="16">
        <v>111</v>
      </c>
      <c r="P3" s="15" t="s">
        <v>594</v>
      </c>
      <c r="Q3" s="15">
        <v>10.81</v>
      </c>
      <c r="R3" s="15" t="s">
        <v>595</v>
      </c>
      <c r="S3" s="15">
        <v>0</v>
      </c>
      <c r="T3" s="15" t="s">
        <v>588</v>
      </c>
      <c r="U3" s="15">
        <v>0</v>
      </c>
      <c r="V3" s="15">
        <v>0</v>
      </c>
      <c r="W3" s="15">
        <v>0</v>
      </c>
      <c r="X3" s="15">
        <v>0</v>
      </c>
      <c r="Y3" s="15">
        <v>24.57</v>
      </c>
      <c r="Z3" s="15">
        <v>0</v>
      </c>
      <c r="AA3" s="16">
        <v>1942.13</v>
      </c>
      <c r="AB3" s="16">
        <v>4054.43</v>
      </c>
      <c r="AC3" s="15">
        <v>1559.11</v>
      </c>
      <c r="AD3" s="15">
        <v>2495.3200000000002</v>
      </c>
      <c r="AE3" s="15">
        <v>0</v>
      </c>
      <c r="AF3" s="15">
        <v>2495.3200000000002</v>
      </c>
      <c r="AG3" s="17">
        <v>0.41609999999999997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6119.06</v>
      </c>
      <c r="F3" s="93"/>
      <c r="G3" s="94"/>
      <c r="H3" s="95">
        <f>'Resumo Detalhado'!C2</f>
        <v>163</v>
      </c>
      <c r="I3" s="96"/>
      <c r="J3" s="97">
        <f>E3/H3</f>
        <v>37.54024539877301</v>
      </c>
      <c r="K3" s="98"/>
      <c r="L3" s="99"/>
      <c r="M3" s="138" t="s">
        <v>62</v>
      </c>
      <c r="N3" s="93"/>
      <c r="O3" s="94"/>
      <c r="P3" s="135">
        <v>1200</v>
      </c>
      <c r="Q3" s="136"/>
      <c r="R3" s="137"/>
      <c r="S3" s="103">
        <f>MIN(H3/P3,1)</f>
        <v>0.13583333333333333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2821.92</v>
      </c>
      <c r="F7" s="109"/>
      <c r="G7" s="109"/>
      <c r="H7" s="109"/>
      <c r="I7" s="109"/>
      <c r="J7" s="109">
        <f>E7/H3</f>
        <v>17.312392638036812</v>
      </c>
      <c r="K7" s="109"/>
      <c r="L7" s="109"/>
      <c r="M7" s="110">
        <f>E7/E3</f>
        <v>0.46116887234313764</v>
      </c>
      <c r="N7" s="110"/>
      <c r="O7" s="110"/>
      <c r="P7" s="109">
        <f>E11+K11+Q11+E15+K15+Q15+E19+H19+K19</f>
        <v>4330.3644000000004</v>
      </c>
      <c r="Q7" s="109"/>
      <c r="R7" s="109"/>
      <c r="S7" s="109">
        <f>P7/H3</f>
        <v>26.566652760736197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2800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2800</v>
      </c>
      <c r="L11" s="94"/>
      <c r="M11" s="38"/>
      <c r="N11" s="92">
        <f>K11/H3</f>
        <v>17.177914110429448</v>
      </c>
      <c r="O11" s="94"/>
      <c r="P11" s="38"/>
      <c r="Q11" s="92">
        <f>'Resumo Detalhado'!D2</f>
        <v>21.92</v>
      </c>
      <c r="R11" s="94"/>
      <c r="S11" s="38"/>
      <c r="T11" s="92">
        <f>Q11/H3</f>
        <v>0.13447852760736198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14.7</v>
      </c>
      <c r="F15" s="113"/>
      <c r="G15" s="113"/>
      <c r="H15" s="113"/>
      <c r="I15" s="114"/>
      <c r="J15" s="38"/>
      <c r="K15" s="116">
        <f>'Resumo Detalhado'!K2+'Resumo Detalhado'!L2</f>
        <v>979.04960000000005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25.17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489.52480000000003</v>
      </c>
      <c r="L19" s="108"/>
      <c r="M19" s="38"/>
      <c r="N19" s="112" t="s">
        <v>346</v>
      </c>
      <c r="O19" s="113"/>
      <c r="P19" s="113"/>
      <c r="Q19" s="113"/>
      <c r="R19" s="119"/>
      <c r="S19" s="112">
        <f>_xlfn.XLOOKUP(N19,Target!C:C,Target!D:D)</f>
        <v>2800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5527.7452000000003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0.90336509202393833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596</v>
      </c>
      <c r="F1" s="29"/>
    </row>
    <row r="2" spans="1:18" x14ac:dyDescent="0.3">
      <c r="B2" s="29">
        <f>SUM(B6:B5000)</f>
        <v>6119.06</v>
      </c>
      <c r="C2" s="29">
        <f>SUM(C6:C5000)</f>
        <v>163</v>
      </c>
      <c r="D2" s="29">
        <f>SUM(D6:D5000)</f>
        <v>21.92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14.7</v>
      </c>
      <c r="I2" s="29">
        <f t="shared" si="0"/>
        <v>25.17</v>
      </c>
      <c r="J2" s="29">
        <f t="shared" si="0"/>
        <v>0</v>
      </c>
      <c r="K2" s="29">
        <f t="shared" si="0"/>
        <v>489.52480000000003</v>
      </c>
      <c r="L2" s="29">
        <f t="shared" si="0"/>
        <v>489.52480000000003</v>
      </c>
      <c r="M2" s="29">
        <f t="shared" si="0"/>
        <v>0</v>
      </c>
      <c r="N2" s="29">
        <f t="shared" si="0"/>
        <v>5527.7452000000003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300849</v>
      </c>
      <c r="B6" s="139">
        <v>5996.56</v>
      </c>
      <c r="C6" s="140">
        <v>111</v>
      </c>
      <c r="D6" s="139">
        <v>10.81</v>
      </c>
      <c r="E6" s="139">
        <v>0</v>
      </c>
      <c r="F6" s="139">
        <v>0</v>
      </c>
      <c r="G6" s="141">
        <v>1.8027002147898129E-3</v>
      </c>
      <c r="H6" s="139">
        <v>0</v>
      </c>
      <c r="I6" s="139">
        <v>24.57</v>
      </c>
      <c r="J6" s="139">
        <v>0</v>
      </c>
      <c r="K6" s="139">
        <v>479.72480000000002</v>
      </c>
      <c r="L6" s="139">
        <v>479.72480000000002</v>
      </c>
      <c r="M6" s="139">
        <v>0</v>
      </c>
      <c r="N6" s="139">
        <v>5481.4552000000003</v>
      </c>
      <c r="O6" s="141">
        <v>0.91409995063836602</v>
      </c>
      <c r="Q6"/>
    </row>
    <row r="7" spans="1:18" s="31" customFormat="1" x14ac:dyDescent="0.3">
      <c r="A7" s="9" t="s">
        <v>581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300623</v>
      </c>
      <c r="B8" s="139">
        <v>122.5</v>
      </c>
      <c r="C8" s="140">
        <v>52</v>
      </c>
      <c r="D8" s="139">
        <v>11.11</v>
      </c>
      <c r="E8" s="139">
        <v>40</v>
      </c>
      <c r="F8" s="139">
        <v>0</v>
      </c>
      <c r="G8" s="141">
        <v>0.41722448979591836</v>
      </c>
      <c r="H8" s="139">
        <v>14.7</v>
      </c>
      <c r="I8" s="139">
        <v>0.6</v>
      </c>
      <c r="J8" s="139">
        <v>0</v>
      </c>
      <c r="K8" s="139">
        <v>9.8000000000000007</v>
      </c>
      <c r="L8" s="139">
        <v>9.8000000000000007</v>
      </c>
      <c r="M8" s="139">
        <v>0</v>
      </c>
      <c r="N8" s="139">
        <v>46.289999999999992</v>
      </c>
      <c r="O8" s="141">
        <v>0.3778775510204081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596</v>
      </c>
    </row>
    <row r="2" spans="1:4" x14ac:dyDescent="0.3">
      <c r="B2" s="29">
        <f>SUM(B6:B5000)</f>
        <v>122.5</v>
      </c>
      <c r="C2" s="29">
        <f>SUM(C6:C5000)</f>
        <v>46.289999999999992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590</v>
      </c>
      <c r="B5" s="10">
        <v>5996.56</v>
      </c>
      <c r="C5" s="10">
        <v>5481.4552000000003</v>
      </c>
    </row>
    <row r="6" spans="1:4" x14ac:dyDescent="0.3">
      <c r="A6" s="9" t="s">
        <v>581</v>
      </c>
      <c r="B6" s="139">
        <v>122.5</v>
      </c>
      <c r="C6" s="139">
        <v>46.289999999999992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2026-09-16T13:20:07Z</dcterms:modified>
  <cp:category/>
  <cp:contentStatus/>
</cp:coreProperties>
</file>