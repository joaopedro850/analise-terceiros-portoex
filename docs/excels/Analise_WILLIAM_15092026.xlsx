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F7A943F-1860-44F3-AAED-4BC3A1AA3B4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<sst xmlns="http://schemas.openxmlformats.org/spreadsheetml/2006/main" count="874" uniqueCount="602">
  <si>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</si>
  <si>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</si>
  <si>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</si>
  <si>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</si>
  <si>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</si>
  <si>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</si>
  <si>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</si>
  <si>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</si>
  <si>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</si>
  <si>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</si>
  <si>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</si>
  <si>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</si>
  <si>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</si>
  <si>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</si>
  <si>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</si>
  <si>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</si>
  <si>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</si>
  <si>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</si>
  <si>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</si>
  <si>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</si>
  <si>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</si>
  <si>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</si>
  <si>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</si>
  <si>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</si>
  <si>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</si>
  <si>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</si>
  <si>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</si>
  <si>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</si>
  <si>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</si>
  <si>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</si>
  <si>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</si>
  <si>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</si>
  <si>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</si>
  <si>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</si>
  <si>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</si>
  <si>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</si>
  <si>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</si>
  <si>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</si>
  <si>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</si>
  <si>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</si>
  <si>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</si>
  <si>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</si>
  <si>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</si>
  <si>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</si>
  <si>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</si>
  <si>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</si>
  <si>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</si>
  <si>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</si>
  <si>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</si>
  <si>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</si>
  <si>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</si>
  <si>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</si>
  <si>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</si>
  <si>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</si>
  <si>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</si>
  <si>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</si>
  <si>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</si>
  <si>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</si>
  <si>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</si>
  <si>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</si>
  <si>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</si>
  <si>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</si>
  <si>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</si>
  <si>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</si>
  <si>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</si>
  <si>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</si>
  <si>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</si>
  <si>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</si>
  <si>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</si>
  <si>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</si>
  <si>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</si>
  <si>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</si>
  <si>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</si>
  <si>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</si>
  <si>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</si>
  <si>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</si>
  <si>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</si>
  <si>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</si>
  <si>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</si>
  <si>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</si>
  <si>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</si>
  <si>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</si>
  <si>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</si>
  <si>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</si>
  <si>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</si>
  <si>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</si>
  <si>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</si>
  <si>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</si>
  <si>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</si>
  <si>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</si>
  <si>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</si>
  <si>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</si>
  <si>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</si>
  <si>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</si>
  <si>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</si>
  <si>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</si>
  <si>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</si>
  <si>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</si>
  <si>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</si>
  <si>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</si>
  <si>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</si>
  <si>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</si>
  <si>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</si>
  <si>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</si>
  <si>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</si>
  <si>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</si>
  <si>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</si>
  <si>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</si>
  <si>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</si>
  <si>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</si>
  <si>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</si>
  <si>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</si>
  <si>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</si>
  <si>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</si>
  <si>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</si>
  <si>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</si>
  <si>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</si>
  <si>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</si>
  <si>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</si>
  <si>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</si>
  <si>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</si>
  <si>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</si>
  <si>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</si>
  <si>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</si>
  <si>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</si>
  <si>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</si>
  <si>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</si>
  <si>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</si>
  <si>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</si>
  <si>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</si>
  <si>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</si>
  <si>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</si>
  <si>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</si>
  <si>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</si>
  <si>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</si>
  <si>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</si>
  <si>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</si>
  <si>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</si>
  <si>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</si>
  <si>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</si>
  <si>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</si>
  <si>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</si>
  <si>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</si>
  <si>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</si>
  <si>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</si>
  <si>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</si>
  <si>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</si>
  <si>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</si>
  <si>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</si>
  <si>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</si>
  <si>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</si>
  <si>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</si>
  <si>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</si>
  <si>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</si>
  <si>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</si>
  <si>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</si>
  <si>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</si>
  <si>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</si>
  <si>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</si>
  <si>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</si>
  <si>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</si>
  <si>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</si>
  <si>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</si>
  <si>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</si>
  <si>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</si>
  <si>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</si>
  <si>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</si>
  <si>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</si>
  <si>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</si>
  <si>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</si>
  <si>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</si>
  <si>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</si>
  <si>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</si>
  <si>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</si>
  <si>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</si>
  <si>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</si>
  <si>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</si>
  <si>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</si>
  <si>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</si>
  <si>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</si>
  <si>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</si>
  <si>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</si>
  <si>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</si>
  <si>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</si>
  <si>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</si>
  <si>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</si>
  <si>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</si>
  <si>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</si>
  <si>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</si>
  <si>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</si>
  <si>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</si>
  <si>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</si>
  <si>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</si>
  <si>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</si>
  <si>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</si>
  <si>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</si>
  <si>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</si>
  <si>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</si>
  <si>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</si>
  <si>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</si>
  <si>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</si>
  <si>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</si>
  <si>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</si>
  <si>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</si>
  <si>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</si>
  <si>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</si>
  <si>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</si>
  <si>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</si>
  <si>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</si>
  <si>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</si>
  <si>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</si>
  <si>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</si>
  <si>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</si>
  <si>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</si>
  <si>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</si>
  <si>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</si>
  <si>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</si>
  <si>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</si>
  <si>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</si>
  <si>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</si>
  <si>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</si>
  <si>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</si>
  <si>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</si>
  <si>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</si>
  <si>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</si>
  <si>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</si>
  <si>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</si>
  <si>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</si>
  <si>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</si>
  <si>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</si>
  <si>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</si>
  <si>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</si>
  <si>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</si>
  <si>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</si>
  <si>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</si>
  <si>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</si>
  <si>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</si>
  <si>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</si>
  <si>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</si>
  <si>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</si>
  <si>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</si>
  <si>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</si>
  <si>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</si>
  <si>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</si>
  <si>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</si>
  <si>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</si>
  <si>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</si>
  <si>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</si>
  <si>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</si>
  <si>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</si>
  <si>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</si>
  <si>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</si>
  <si>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</si>
  <si>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</si>
  <si>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</si>
  <si>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</si>
  <si>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</si>
  <si>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</si>
  <si>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</si>
  <si>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</si>
  <si>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</si>
  <si>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</si>
  <si>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</si>
  <si>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</si>
  <si>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</si>
  <si>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</si>
  <si>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</si>
  <si>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</si>
  <si>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</si>
  <si>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</si>
  <si>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</si>
  <si>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</si>
  <si>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</si>
  <si>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</si>
  <si>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</si>
  <si>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</si>
  <si>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</si>
  <si>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</si>
  <si>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</si>
  <si>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</si>
  <si>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</si>
  <si>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</si>
  <si>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</si>
  <si>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</si>
  <si>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</si>
  <si>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</si>
  <si>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</si>
  <si>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</si>
  <si>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</si>
  <si>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</si>
  <si>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</si>
  <si>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</si>
  <si>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</si>
  <si>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</si>
  <si>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</si>
  <si>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</si>
  <si>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</si>
  <si>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</si>
  <si>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</si>
  <si>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</si>
  <si>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</si>
  <si>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</si>
  <si>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</si>
  <si>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</si>
  <si>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</si>
  <si>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</si>
  <si>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</si>
  <si>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</si>
  <si>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</si>
  <si>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</si>
  <si>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</si>
  <si>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</si>
  <si>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</si>
  <si>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</si>
  <si>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</si>
  <si>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</si>
  <si>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</si>
  <si>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</si>
  <si>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</si>
  <si>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</si>
  <si>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</si>
  <si>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</si>
  <si>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</si>
  <si>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</si>
  <si>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</si>
  <si>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</si>
  <si>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</si>
  <si>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</si>
  <si>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</si>
  <si>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</si>
  <si>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</si>
  <si>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</si>
  <si>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</si>
  <si>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</si>
  <si>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</si>
  <si>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</si>
  <si>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</si>
  <si>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</si>
  <si>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</si>
  <si>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</si>
  <si>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</si>
  <si>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</si>
  <si>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</si>
  <si>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</si>
  <si>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</si>
  <si>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</si>
  <si>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</si>
  <si>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</si>
  <si>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</si>
  <si>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</si>
  <si>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</si>
  <si>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</si>
  <si>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</si>
  <si>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</si>
  <si>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</si>
  <si>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</si>
  <si>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</si>
  <si>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</si>
  <si>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</si>
  <si>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</si>
  <si>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</si>
  <si>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</si>
  <si>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</si>
  <si>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</si>
  <si>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</si>
  <si>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</si>
  <si>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</si>
  <si>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</si>
  <si>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</si>
  <si>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</si>
  <si>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</si>
  <si>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</si>
  <si>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</si>
  <si>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</si>
  <si>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</si>
  <si>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</si>
  <si>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</si>
  <si>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</si>
  <si>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</si>
  <si>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</si>
  <si>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</si>
  <si>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</si>
  <si>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</si>
  <si>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</si>
  <si>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</si>
  <si>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</si>
  <si>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</si>
  <si>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</si>
  <si>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</si>
  <si>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</si>
  <si>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</si>
  <si>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</si>
  <si>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</si>
  <si>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</si>
  <si>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</si>
  <si>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</si>
  <si>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</si>
  <si>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</si>
  <si>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</si>
  <si>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</si>
  <si>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</si>
  <si>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</si>
  <si>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</si>
  <si>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</si>
  <si>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</si>
  <si>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</si>
  <si>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</si>
  <si>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</si>
  <si>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</si>
  <si>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</si>
  <si>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</si>
  <si>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</si>
  <si>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</si>
  <si>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</si>
  <si>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</si>
  <si>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</si>
  <si>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</si>
  <si>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</si>
  <si>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</si>
  <si>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</si>
  <si>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</si>
  <si>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</si>
  <si>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</si>
  <si>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</si>
  <si>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</si>
  <si>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</si>
  <si>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</si>
  <si>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</si>
  <si>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</si>
  <si>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</si>
  <si>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</si>
  <si>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</si>
  <si>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</si>
  <si>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</si>
  <si>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</si>
  <si>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</si>
  <si>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</si>
  <si>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</si>
  <si>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</si>
  <si>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</si>
  <si>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</si>
  <si>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</si>
  <si>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</si>
  <si>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</si>
  <si>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</si>
  <si>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</si>
  <si>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</si>
  <si>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</si>
  <si>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</si>
  <si>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</si>
  <si>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</si>
  <si>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</si>
  <si>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</si>
  <si>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</si>
  <si>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</si>
  <si>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</si>
  <si>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</si>
  <si>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</si>
  <si>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</si>
  <si>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</si>
  <si>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</si>
  <si>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</si>
  <si>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</si>
  <si>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</si>
  <si>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</si>
  <si>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</si>
  <si>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</si>
  <si>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</si>
  <si>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</si>
  <si>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</si>
  <si>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</si>
  <si>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</si>
  <si>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</si>
  <si>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</si>
  <si>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</si>
  <si>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</si>
  <si>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</si>
  <si>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</si>
  <si>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</si>
  <si>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</si>
  <si>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</si>
  <si>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</si>
  <si>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</si>
  <si>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</si>
  <si>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</si>
  <si>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</si>
  <si>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</si>
  <si>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</si>
  <si>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</si>
  <si>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</si>
  <si>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</si>
  <si>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</si>
  <si>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</si>
  <si>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</si>
  <si>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</si>
  <si>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</si>
  <si>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</si>
  <si>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</si>
  <si>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</si>
  <si>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</si>
  <si>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</si>
  <si>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</si>
  <si>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</si>
  <si>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</si>
  <si>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</si>
  <si>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</si>
  <si>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</si>
  <si>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</si>
  <si>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</si>
  <si>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</si>
  <si>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</si>
  <si>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</si>
  <si>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</si>
  <si>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</si>
  <si>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</si>
  <si>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</si>
  <si>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</si>
  <si>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</si>
  <si>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</si>
  <si>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</si>
  <si>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</si>
  <si>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</si>
  <si>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</si>
  <si>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</si>
  <si>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</si>
  <si>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</si>
  <si>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</si>
  <si>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</si>
  <si>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</si>
  <si>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</si>
  <si>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</si>
  <si>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</si>
  <si>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</si>
  <si>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</si>
  <si>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</si>
  <si>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</si>
  <si>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</si>
  <si>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</si>
  <si>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</si>
  <si>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</si>
  <si>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</si>
  <si>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</si>
  <si>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</si>
  <si>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</si>
  <si>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</si>
  <si>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</si>
  <si>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</si>
  <si>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</si>
  <si>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</si>
  <si>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</si>
  <si>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</si>
  <si>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</si>
  <si>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</si>
  <si>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</si>
  <si>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</si>
  <si>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</si>
  <si>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</si>
  <si>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</si>
  <si>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</si>
  <si>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</si>
  <si>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</si>
  <si>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</si>
  <si>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</si>
  <si>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</si>
  <si>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</si>
  <si>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</si>
  <si>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</si>
  <si>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</si>
  <si>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</si>
  <si>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</si>
  <si>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</si>
  <si>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</si>
  <si>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</si>
  <si>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</si>
  <si>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</si>
  <si>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</si>
  <si>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</si>
  <si>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</si>
  <si>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</si>
  <si>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</si>
  <si>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</si>
  <si>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</si>
  <si>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</si>
  <si>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</si>
  <si>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MATRIZ</t>
  </si>
  <si>
    <t>3016-1</t>
  </si>
  <si>
    <t>AUTEL BRASIL TE</t>
  </si>
  <si>
    <t>SABRINA SANTOS</t>
  </si>
  <si>
    <t>ECONOMICO_250</t>
  </si>
  <si>
    <t>CTE NORMAL</t>
  </si>
  <si>
    <t>CAXIAS DO SUL - RS</t>
  </si>
  <si>
    <t>LUIZ FELIPE FERNANDES DA</t>
  </si>
  <si>
    <t>TRANSFER TRANSPORTES URGE</t>
  </si>
  <si>
    <t>DFL TRANSFERENCIA DE CARG</t>
  </si>
  <si>
    <t>3051-1</t>
  </si>
  <si>
    <t>AC COMERCIAL IM</t>
  </si>
  <si>
    <t>TIAGO SANTANA</t>
  </si>
  <si>
    <t>PERSONALIZADO</t>
  </si>
  <si>
    <t>CANOAS - RS</t>
  </si>
  <si>
    <t>N/D</t>
  </si>
  <si>
    <t>WILLIAM JOSE TALHEIMER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</si>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</sst>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[Analise_WILLIAM_15092026.xlsx]Resumo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AUTEL BRASIL TE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8501.44</c:v>
                </c:pt>
                <c:pt idx="1">
                  <c:v>296.27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AUTEL BRASIL TE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6613.8347999999996</c:v>
                </c:pt>
                <c:pt idx="1">
                  <c:v>165.39839999999998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[Analise_WILLIAM_15092026.xlsx]Resumo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AUTEL BRASIL TE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8501.44</c:v>
                </c:pt>
                <c:pt idx="1">
                  <c:v>296.27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AUTEL BRASIL TE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6613.8347999999996</c:v>
                </c:pt>
                <c:pt idx="1">
                  <c:v>165.39839999999998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45899722222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16"/>
        <n v="315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4T00:00:00" maxDate="2026-09-16T00:00:00"/>
    </cacheField>
    <cacheField name="DATA" numFmtId="14">
      <sharedItems containsNonDate="0" containsDate="1" containsString="0" containsBlank="1" minDate="2026-09-14T00:00:00" maxDate="2026-09-1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UTEL BRASIL TE"/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800" maxValue="281272.39"/>
    </cacheField>
    <cacheField name="SERVICO" numFmtId="0">
      <sharedItems containsBlank="1" count="27">
        <s v="ECONOMICO_250"/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96.27" maxValue="8501.44"/>
    </cacheField>
    <cacheField name="VOLUMES" numFmtId="0">
      <sharedItems containsString="0" containsBlank="1" containsNumber="1" containsInteger="1" minValue="1" maxValue="15"/>
    </cacheField>
    <cacheField name="PESO" numFmtId="0">
      <sharedItems containsString="0" containsBlank="1" containsNumber="1" minValue="9.3800000000000008" maxValue="5341.5"/>
    </cacheField>
    <cacheField name="RESP. COLETA" numFmtId="0">
      <sharedItems containsBlank="1"/>
    </cacheField>
    <cacheField name="CUSTO COLETA" numFmtId="0">
      <sharedItems containsString="0" containsBlank="1" containsNumber="1" minValue="0" maxValue="0.5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7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5.549999999999997" maxValue="1020.1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200000000000001" maxValue="112.5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80.33999999999997" maxValue="4901.34"/>
    </cacheField>
    <cacheField name="RECEITA" numFmtId="0">
      <sharedItems containsString="0" containsBlank="1" containsNumber="1" minValue="15.93" maxValue="3600.1"/>
    </cacheField>
    <cacheField name="IMPOSTO" numFmtId="0">
      <sharedItems containsString="0" containsBlank="1" containsNumber="1" minValue="47.4" maxValue="1360.23"/>
    </cacheField>
    <cacheField name="RESULTADO" numFmtId="0">
      <sharedItems containsString="0" containsBlank="1" containsNumber="1" minValue="-31.47" maxValue="2239.87"/>
    </cacheField>
    <cacheField name="COMIS" numFmtId="0">
      <sharedItems containsString="0" containsBlank="1" containsNumber="1" minValue="0" maxValue="74.81"/>
    </cacheField>
    <cacheField name="LUCRO LIQ" numFmtId="0">
      <sharedItems containsString="0" containsBlank="1" containsNumber="1" minValue="-31.47" maxValue="2165.06"/>
    </cacheField>
    <cacheField name="MARGEM" numFmtId="10">
      <sharedItems containsString="0" containsBlank="1" containsNumber="1" minValue="-0.10619999999999999" maxValue="0.2546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4T00:00:00"/>
    <d v="2026-09-14T00:00:00"/>
    <m/>
    <s v="3016-1"/>
    <x v="0"/>
    <s v="SABRINA SANTOS"/>
    <n v="2800"/>
    <x v="0"/>
    <s v="CTE NORMAL"/>
    <s v="CAXIAS DO SUL - RS"/>
    <n v="296.27"/>
    <n v="1"/>
    <n v="9.3800000000000008"/>
    <s v="LUIZ FELIPE FERNANDES DA"/>
    <n v="0.5"/>
    <s v="TRANSFER TRANSPORTES URGE"/>
    <n v="70"/>
    <s v="DFL TRANSFERENCIA DE CARG"/>
    <n v="0"/>
    <n v="35.549999999999997"/>
    <n v="0"/>
    <n v="0"/>
    <n v="1.1200000000000001"/>
    <n v="0"/>
    <n v="280.33999999999997"/>
    <n v="15.93"/>
    <n v="47.4"/>
    <n v="-31.47"/>
    <n v="0"/>
    <n v="-31.47"/>
    <n v="-0.10619999999999999"/>
    <m/>
  </r>
  <r>
    <x v="1"/>
    <s v="MATRIZ"/>
    <d v="2026-09-15T00:00:00"/>
    <d v="2026-09-15T00:00:00"/>
    <m/>
    <s v="3051-1"/>
    <x v="1"/>
    <s v="TIAGO SANTANA"/>
    <n v="281272.39"/>
    <x v="1"/>
    <s v="CTE NORMAL"/>
    <s v="CANOAS - RS"/>
    <n v="8501.44"/>
    <n v="15"/>
    <n v="5341.5"/>
    <s v="MATRIZ"/>
    <n v="0"/>
    <s v="N/D"/>
    <n v="0"/>
    <s v="WILLIAM JOSE TALHEIMER"/>
    <n v="0"/>
    <n v="1020.17"/>
    <n v="0"/>
    <n v="0"/>
    <n v="112.51"/>
    <n v="0"/>
    <n v="4901.34"/>
    <n v="3600.1"/>
    <n v="1360.23"/>
    <n v="2239.87"/>
    <n v="74.81"/>
    <n v="2165.06"/>
    <n v="0.25469999999999998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5"/>
        <item sd="0" m="1" x="502"/>
        <item m="1" x="24"/>
        <item m="1" x="582"/>
        <item m="1" x="852"/>
        <item x="1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1"/>
        <item m="1" x="469"/>
        <item m="1" x="44"/>
        <item sd="0" m="1" x="730"/>
        <item m="1" x="689"/>
        <item m="1" x="216"/>
        <item sd="0" m="1" x="476"/>
        <item m="1" x="634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x="0"/>
        <item m="1" x="519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2"/>
        <item m="1" x="206"/>
        <item m="1" x="674"/>
        <item m="1" x="139"/>
        <item m="1" x="688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3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9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3"/>
        <item m="1" x="557"/>
        <item m="1" x="627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6"/>
        <item m="1" x="458"/>
        <item m="1" x="790"/>
        <item m="1" x="703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1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90"/>
        <item m="1" x="747"/>
        <item sd="0" m="1" x="269"/>
        <item m="1" x="18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8"/>
        <item m="1" x="331"/>
        <item m="1" x="626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5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2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5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2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5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9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7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7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3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m="1" x="702"/>
        <item m="1" x="204"/>
        <item sd="0" m="1" x="644"/>
        <item m="1" x="779"/>
        <item sd="0" m="1" x="468"/>
        <item sd="0" m="1" x="40"/>
        <item m="1" x="693"/>
        <item m="1" x="664"/>
        <item sd="0" m="1" x="808"/>
        <item m="1" x="816"/>
        <item m="1" x="625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79"/>
        <item m="1" x="81"/>
        <item m="1" x="635"/>
        <item m="1" x="66"/>
        <item m="1" x="651"/>
        <item m="1" x="489"/>
        <item m="1" x="753"/>
        <item m="1" x="163"/>
        <item m="1" x="191"/>
        <item m="1" x="678"/>
        <item m="1" x="299"/>
        <item m="1" x="589"/>
        <item sd="0" m="1" x="179"/>
        <item m="1" x="624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9"/>
    </i>
    <i>
      <x v="75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5"/>
        <item sd="0" m="1" x="502"/>
        <item m="1" x="24"/>
        <item m="1" x="582"/>
        <item m="1" x="852"/>
        <item x="1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1"/>
        <item m="1" x="469"/>
        <item m="1" x="44"/>
        <item sd="0" m="1" x="730"/>
        <item m="1" x="689"/>
        <item m="1" x="216"/>
        <item sd="0" m="1" x="476"/>
        <item m="1" x="634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x="0"/>
        <item m="1" x="519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2"/>
        <item m="1" x="206"/>
        <item m="1" x="674"/>
        <item m="1" x="139"/>
        <item m="1" x="688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3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9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3"/>
        <item m="1" x="557"/>
        <item m="1" x="627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6"/>
        <item m="1" x="458"/>
        <item m="1" x="790"/>
        <item sd="0" m="1" x="703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1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90"/>
        <item m="1" x="747"/>
        <item sd="0" m="1" x="269"/>
        <item m="1" x="18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8"/>
        <item m="1" x="331"/>
        <item m="1" x="626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5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2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5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2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5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9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7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7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3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m="1" x="702"/>
        <item m="1" x="204"/>
        <item sd="0" m="1" x="644"/>
        <item m="1" x="779"/>
        <item sd="0" m="1" x="468"/>
        <item sd="0" m="1" x="40"/>
        <item m="1" x="693"/>
        <item m="1" x="664"/>
        <item sd="0" m="1" x="808"/>
        <item m="1" x="816"/>
        <item m="1" x="625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79"/>
        <item m="1" x="81"/>
        <item m="1" x="635"/>
        <item m="1" x="66"/>
        <item m="1" x="651"/>
        <item m="1" x="489"/>
        <item m="1" x="753"/>
        <item m="1" x="163"/>
        <item m="1" x="191"/>
        <item m="1" x="678"/>
        <item m="1" x="299"/>
        <item m="1" x="589"/>
        <item sd="0" m="1" x="179"/>
        <item m="1" x="624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7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4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1" s="1" nd="1"/>
        <i x="324" s="1" nd="1"/>
        <i x="675" s="1" nd="1"/>
        <i x="502" s="1" nd="1"/>
        <i x="24" s="1" nd="1"/>
        <i x="582" s="1" nd="1"/>
        <i x="852" s="1" nd="1"/>
        <i x="757" s="1" nd="1"/>
        <i x="112" s="1" nd="1"/>
        <i x="545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1" s="1" nd="1"/>
        <i x="469" s="1" nd="1"/>
        <i x="44" s="1" nd="1"/>
        <i x="730" s="1" nd="1"/>
        <i x="689" s="1" nd="1"/>
        <i x="216" s="1" nd="1"/>
        <i x="476" s="1" nd="1"/>
        <i x="634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519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2" s="1" nd="1"/>
        <i x="206" s="1" nd="1"/>
        <i x="674" s="1" nd="1"/>
        <i x="139" s="1" nd="1"/>
        <i x="688" s="1" nd="1"/>
        <i x="453" s="1" nd="1"/>
        <i x="408" s="1" nd="1"/>
        <i x="516" s="1" nd="1"/>
        <i x="318" s="1" nd="1"/>
        <i x="592" s="1" nd="1"/>
        <i x="596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1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7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9" s="1" nd="1"/>
        <i x="53" s="1" nd="1"/>
        <i x="793" s="1" nd="1"/>
        <i x="716" s="1" nd="1"/>
        <i x="417" s="1" nd="1"/>
        <i x="734" s="1" nd="1"/>
        <i x="813" s="1" nd="1"/>
        <i x="562" s="1" nd="1"/>
        <i x="559" s="1" nd="1"/>
        <i x="429" s="1" nd="1"/>
        <i x="714" s="1" nd="1"/>
        <i x="505" s="1" nd="1"/>
        <i x="173" s="1" nd="1"/>
        <i x="628" s="1" nd="1"/>
        <i x="375" s="1" nd="1"/>
        <i x="807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8" s="1" nd="1"/>
        <i x="32" s="1" nd="1"/>
        <i x="673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9" s="1" nd="1"/>
        <i x="160" s="1" nd="1"/>
        <i x="773" s="1" nd="1"/>
        <i x="580" s="1" nd="1"/>
        <i x="518" s="1" nd="1"/>
        <i x="797" s="1" nd="1"/>
        <i x="165" s="1" nd="1"/>
        <i x="826" s="1" nd="1"/>
        <i x="110" s="1" nd="1"/>
        <i x="422" s="1" nd="1"/>
        <i x="427" s="1" nd="1"/>
        <i x="10" s="1" nd="1"/>
        <i x="42" s="1" nd="1"/>
        <i x="17" s="1" nd="1"/>
        <i x="623" s="1" nd="1"/>
        <i x="557" s="1" nd="1"/>
        <i x="627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4" s="1" nd="1"/>
        <i x="636" s="1" nd="1"/>
        <i x="458" s="1" nd="1"/>
        <i x="790" s="1" nd="1"/>
        <i x="703" s="1" nd="1"/>
        <i x="234" s="1" nd="1"/>
        <i x="598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1" s="1" nd="1"/>
        <i x="486" s="1" nd="1"/>
        <i x="641" s="1" nd="1"/>
        <i x="607" s="1" nd="1"/>
        <i x="532" s="1" nd="1"/>
        <i x="564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1" s="1" nd="1"/>
        <i x="805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7" s="1" nd="1"/>
        <i x="707" s="1" nd="1"/>
        <i x="23" s="1" nd="1"/>
        <i x="36" s="1" nd="1"/>
        <i x="9" s="1" nd="1"/>
        <i x="418" s="1" nd="1"/>
        <i x="683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6" s="1" nd="1"/>
        <i x="839" s="1" nd="1"/>
        <i x="38" s="1" nd="1"/>
        <i x="383" s="1" nd="1"/>
        <i x="590" s="1" nd="1"/>
        <i x="747" s="1" nd="1"/>
        <i x="269" s="1" nd="1"/>
        <i x="18" s="1" nd="1"/>
        <i x="638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8" s="1" nd="1"/>
        <i x="161" s="1" nd="1"/>
        <i x="315" s="1" nd="1"/>
        <i x="698" s="1" nd="1"/>
        <i x="331" s="1" nd="1"/>
        <i x="626" s="1" nd="1"/>
        <i x="542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1" s="1" nd="1"/>
        <i x="727" s="1" nd="1"/>
        <i x="780" s="1" nd="1"/>
        <i x="640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6" s="1" nd="1"/>
        <i x="116" s="1" nd="1"/>
        <i x="376" s="1" nd="1"/>
        <i x="718" s="1" nd="1"/>
        <i x="127" s="1" nd="1"/>
        <i x="33" s="1" nd="1"/>
        <i x="302" s="1" nd="1"/>
        <i x="549" s="1" nd="1"/>
        <i x="60" s="1" nd="1"/>
        <i x="452" s="1" nd="1"/>
        <i x="774" s="1" nd="1"/>
        <i x="485" s="1" nd="1"/>
        <i x="740" s="1" nd="1"/>
        <i x="454" s="1" nd="1"/>
        <i x="521" s="1" nd="1"/>
        <i x="162" s="1" nd="1"/>
        <i x="404" s="1" nd="1"/>
        <i x="741" s="1" nd="1"/>
        <i x="194" s="1" nd="1"/>
        <i x="746" s="1" nd="1"/>
        <i x="384" s="1" nd="1"/>
        <i x="137" s="1" nd="1"/>
        <i x="659" s="1" nd="1"/>
        <i x="430" s="1" nd="1"/>
        <i x="665" s="1" nd="1"/>
        <i x="493" s="1" nd="1"/>
        <i x="685" s="1" nd="1"/>
        <i x="327" s="1" nd="1"/>
        <i x="768" s="1" nd="1"/>
        <i x="804" s="1" nd="1"/>
        <i x="91" s="1" nd="1"/>
        <i x="573" s="1" nd="1"/>
        <i x="157" s="1" nd="1"/>
        <i x="561" s="1" nd="1"/>
        <i x="45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8" s="1" nd="1"/>
        <i x="715" s="1" nd="1"/>
        <i x="54" s="1" nd="1"/>
        <i x="298" s="1" nd="1"/>
        <i x="682" s="1" nd="1"/>
        <i x="135" s="1" nd="1"/>
        <i x="330" s="1" nd="1"/>
        <i x="536" s="1" nd="1"/>
        <i x="237" s="1" nd="1"/>
        <i x="558" s="1" nd="1"/>
        <i x="547" s="1" nd="1"/>
        <i x="850" s="1" nd="1"/>
        <i x="3" s="1" nd="1"/>
        <i x="272" s="1" nd="1"/>
        <i x="75" s="1" nd="1"/>
        <i x="130" s="1" nd="1"/>
        <i x="655" s="1" nd="1"/>
        <i x="721" s="1" nd="1"/>
        <i x="642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1" s="1" nd="1"/>
        <i x="268" s="1" nd="1"/>
        <i x="751" s="1" nd="1"/>
        <i x="371" s="1" nd="1"/>
        <i x="246" s="1" nd="1"/>
        <i x="398" s="1" nd="1"/>
        <i x="482" s="1" nd="1"/>
        <i x="338" s="1" nd="1"/>
        <i x="613" s="1" nd="1"/>
        <i x="672" s="1" nd="1"/>
        <i x="838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7" s="1" nd="1"/>
        <i x="227" s="1" nd="1"/>
        <i x="391" s="1" nd="1"/>
        <i x="658" s="1" nd="1"/>
        <i x="310" s="1" nd="1"/>
        <i x="74" s="1" nd="1"/>
        <i x="669" s="1" nd="1"/>
        <i x="94" s="1" nd="1"/>
        <i x="440" s="1" nd="1"/>
        <i x="351" s="1" nd="1"/>
        <i x="784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0" s="1" nd="1"/>
        <i x="535" s="1" nd="1"/>
        <i x="645" s="1" nd="1"/>
        <i x="610" s="1" nd="1"/>
        <i x="834" s="1" nd="1"/>
        <i x="787" s="1" nd="1"/>
        <i x="28" s="1" nd="1"/>
        <i x="782" s="1" nd="1"/>
        <i x="253" s="1" nd="1"/>
        <i x="475" s="1" nd="1"/>
        <i x="812" s="1" nd="1"/>
        <i x="464" s="1" nd="1"/>
        <i x="745" s="1" nd="1"/>
        <i x="649" s="1" nd="1"/>
        <i x="775" s="1" nd="1"/>
        <i x="71" s="1" nd="1"/>
        <i x="713" s="1" nd="1"/>
        <i x="574" s="1" nd="1"/>
        <i x="184" s="1" nd="1"/>
        <i x="717" s="1" nd="1"/>
        <i x="111" s="1" nd="1"/>
        <i x="254" s="1" nd="1"/>
        <i x="512" s="1" nd="1"/>
        <i x="95" s="1" nd="1"/>
        <i x="523" s="1" nd="1"/>
        <i x="789" s="1" nd="1"/>
        <i x="20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7" s="1" nd="1"/>
        <i x="566" s="1" nd="1"/>
        <i x="515" s="1" nd="1"/>
        <i x="599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7" s="1" nd="1"/>
        <i x="280" s="1" nd="1"/>
        <i x="525" s="1" nd="1"/>
        <i x="526" s="1" nd="1"/>
        <i x="37" s="1" nd="1"/>
        <i x="593" s="1" nd="1"/>
        <i x="801" s="1" nd="1"/>
        <i x="584" s="1" nd="1"/>
        <i x="749" s="1" nd="1"/>
        <i x="722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6" s="1" nd="1"/>
        <i x="796" s="1" nd="1"/>
        <i x="726" s="1" nd="1"/>
        <i x="412" s="1" nd="1"/>
        <i x="25" s="1" nd="1"/>
        <i x="342" s="1" nd="1"/>
        <i x="490" s="1" nd="1"/>
        <i x="511" s="1" nd="1"/>
        <i x="769" s="1" nd="1"/>
        <i x="719" s="1" nd="1"/>
        <i x="760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20" s="1" nd="1"/>
        <i x="731" s="1" nd="1"/>
        <i x="471" s="1" nd="1"/>
        <i x="552" s="1" nd="1"/>
        <i x="264" s="1" nd="1"/>
        <i x="250" s="1" nd="1"/>
        <i x="633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8" s="1" nd="1"/>
        <i x="614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4" s="1" nd="1"/>
        <i x="778" s="1" nd="1"/>
        <i x="612" s="1" nd="1"/>
        <i x="560" s="1" nd="1"/>
        <i x="308" s="1" nd="1"/>
        <i x="654" s="1" nd="1"/>
        <i x="725" s="1" nd="1"/>
        <i x="405" s="1" nd="1"/>
        <i x="744" s="1" nd="1"/>
        <i x="79" s="1" nd="1"/>
        <i x="51" s="1" nd="1"/>
        <i x="851" s="1" nd="1"/>
        <i x="29" s="1" nd="1"/>
        <i x="571" s="1" nd="1"/>
        <i x="513" s="1" nd="1"/>
        <i x="413" s="1" nd="1"/>
        <i x="702" s="1" nd="1"/>
        <i x="204" s="1" nd="1"/>
        <i x="644" s="1" nd="1"/>
        <i x="779" s="1" nd="1"/>
        <i x="468" s="1" nd="1"/>
        <i x="40" s="1" nd="1"/>
        <i x="693" s="1" nd="1"/>
        <i x="664" s="1" nd="1"/>
        <i x="808" s="1" nd="1"/>
        <i x="816" s="1" nd="1"/>
        <i x="625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79" s="1" nd="1"/>
        <i x="81" s="1" nd="1"/>
        <i x="635" s="1" nd="1"/>
        <i x="66" s="1" nd="1"/>
        <i x="651" s="1" nd="1"/>
        <i x="489" s="1" nd="1"/>
        <i x="753" s="1" nd="1"/>
        <i x="163" s="1" nd="1"/>
        <i x="191" s="1" nd="1"/>
        <i x="678" s="1" nd="1"/>
        <i x="299" s="1" nd="1"/>
        <i x="589" s="1" nd="1"/>
        <i x="179" s="1" nd="1"/>
        <i x="624" s="1" nd="1"/>
        <i x="63" s="1" nd="1"/>
        <i x="424" s="1" nd="1"/>
        <i x="26" s="1" nd="1"/>
        <i x="765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8" s="1" nd="1"/>
        <i x="473" s="1" nd="1"/>
        <i x="824" s="1" nd="1"/>
        <i x="35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8" s="1" nd="1"/>
        <i x="601" s="1" nd="1"/>
        <i x="13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2" totalsRowShown="0" headerRowDxfId="92" dataDxfId="90" headerRowBorderDxfId="91" tableBorderDxfId="89" totalsRowBorderDxfId="88">
  <autoFilter ref="A1:D372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3116</v>
      </c>
      <c r="B2" s="12" t="s">
        <v>584</v>
      </c>
      <c r="C2" s="14">
        <v>46279</v>
      </c>
      <c r="D2" s="14">
        <v>46279</v>
      </c>
      <c r="E2" s="12"/>
      <c r="F2" s="15" t="s">
        <v>585</v>
      </c>
      <c r="G2" s="15" t="s">
        <v>586</v>
      </c>
      <c r="H2" s="15" t="s">
        <v>587</v>
      </c>
      <c r="I2" s="16">
        <v>2800</v>
      </c>
      <c r="J2" s="15" t="s">
        <v>588</v>
      </c>
      <c r="K2" s="15" t="s">
        <v>589</v>
      </c>
      <c r="L2" s="15" t="s">
        <v>590</v>
      </c>
      <c r="M2" s="15">
        <v>296.27</v>
      </c>
      <c r="N2" s="15">
        <v>1</v>
      </c>
      <c r="O2" s="16">
        <v>9.3800000000000008</v>
      </c>
      <c r="P2" s="15" t="s">
        <v>591</v>
      </c>
      <c r="Q2" s="15">
        <v>0.5</v>
      </c>
      <c r="R2" s="15" t="s">
        <v>592</v>
      </c>
      <c r="S2" s="15">
        <v>70</v>
      </c>
      <c r="T2" s="15" t="s">
        <v>593</v>
      </c>
      <c r="U2" s="15">
        <v>0</v>
      </c>
      <c r="V2" s="15">
        <v>35.549999999999997</v>
      </c>
      <c r="W2" s="15">
        <v>0</v>
      </c>
      <c r="X2" s="15">
        <v>0</v>
      </c>
      <c r="Y2" s="15">
        <v>1.1200000000000001</v>
      </c>
      <c r="Z2" s="15">
        <v>0</v>
      </c>
      <c r="AA2" s="15">
        <v>280.33999999999997</v>
      </c>
      <c r="AB2" s="15">
        <v>15.93</v>
      </c>
      <c r="AC2" s="15">
        <v>47.4</v>
      </c>
      <c r="AD2" s="15">
        <v>-31.47</v>
      </c>
      <c r="AE2" s="15">
        <v>0</v>
      </c>
      <c r="AF2" s="15">
        <v>-31.47</v>
      </c>
      <c r="AG2" s="17">
        <v>-0.10619999999999999</v>
      </c>
      <c r="AH2" s="15"/>
    </row>
    <row r="3" spans="1:34" s="1" customFormat="1" ht="12" customHeight="1" x14ac:dyDescent="0.3">
      <c r="A3" s="13">
        <v>3152</v>
      </c>
      <c r="B3" s="12" t="s">
        <v>584</v>
      </c>
      <c r="C3" s="14">
        <v>46280</v>
      </c>
      <c r="D3" s="14">
        <v>46280</v>
      </c>
      <c r="E3" s="12"/>
      <c r="F3" s="15" t="s">
        <v>594</v>
      </c>
      <c r="G3" s="15" t="s">
        <v>595</v>
      </c>
      <c r="H3" s="15" t="s">
        <v>596</v>
      </c>
      <c r="I3" s="16">
        <v>281272.39</v>
      </c>
      <c r="J3" s="15" t="s">
        <v>597</v>
      </c>
      <c r="K3" s="15" t="s">
        <v>589</v>
      </c>
      <c r="L3" s="15" t="s">
        <v>598</v>
      </c>
      <c r="M3" s="16">
        <v>8501.44</v>
      </c>
      <c r="N3" s="15">
        <v>15</v>
      </c>
      <c r="O3" s="16">
        <v>5341.5</v>
      </c>
      <c r="P3" s="15" t="s">
        <v>584</v>
      </c>
      <c r="Q3" s="15">
        <v>0</v>
      </c>
      <c r="R3" s="15" t="s">
        <v>599</v>
      </c>
      <c r="S3" s="15">
        <v>0</v>
      </c>
      <c r="T3" s="15" t="s">
        <v>600</v>
      </c>
      <c r="U3" s="15">
        <v>0</v>
      </c>
      <c r="V3" s="15">
        <v>1020.17</v>
      </c>
      <c r="W3" s="15">
        <v>0</v>
      </c>
      <c r="X3" s="15">
        <v>0</v>
      </c>
      <c r="Y3" s="15">
        <v>112.51</v>
      </c>
      <c r="Z3" s="15">
        <v>0</v>
      </c>
      <c r="AA3" s="16">
        <v>4901.34</v>
      </c>
      <c r="AB3" s="16">
        <v>3600.1</v>
      </c>
      <c r="AC3" s="15">
        <v>1360.23</v>
      </c>
      <c r="AD3" s="15">
        <v>2239.87</v>
      </c>
      <c r="AE3" s="15">
        <v>74.81</v>
      </c>
      <c r="AF3" s="15">
        <v>2165.06</v>
      </c>
      <c r="AG3" s="17">
        <v>0.25469999999999998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8797.7100000000009</v>
      </c>
      <c r="F3" s="89"/>
      <c r="G3" s="90"/>
      <c r="H3" s="133">
        <f>'Resumo Detalhado'!C2</f>
        <v>5350.88</v>
      </c>
      <c r="I3" s="134"/>
      <c r="J3" s="135">
        <f>E3/H3</f>
        <v>1.6441613342104477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0.48644363636363636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3900.5</v>
      </c>
      <c r="F7" s="112"/>
      <c r="G7" s="112"/>
      <c r="H7" s="112"/>
      <c r="I7" s="112"/>
      <c r="J7" s="112">
        <f>E7/H3</f>
        <v>0.72894551924169482</v>
      </c>
      <c r="K7" s="112"/>
      <c r="L7" s="112"/>
      <c r="M7" s="130">
        <f>E7/E3</f>
        <v>0.44335400916829487</v>
      </c>
      <c r="N7" s="130"/>
      <c r="O7" s="130"/>
      <c r="P7" s="112">
        <f>E11+K11+Q11+E15+K15+Q15+E19+H19+K19</f>
        <v>7181.3004000000001</v>
      </c>
      <c r="Q7" s="112"/>
      <c r="R7" s="112"/>
      <c r="S7" s="112">
        <f>P7/H3</f>
        <v>1.3420783871064199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3900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3900</v>
      </c>
      <c r="L11" s="90"/>
      <c r="M11" s="38"/>
      <c r="N11" s="88">
        <f>K11/H3</f>
        <v>0.72885207666776308</v>
      </c>
      <c r="O11" s="90"/>
      <c r="P11" s="38"/>
      <c r="Q11" s="88">
        <f>'Resumo Detalhado'!D2</f>
        <v>0.5</v>
      </c>
      <c r="R11" s="90"/>
      <c r="S11" s="38"/>
      <c r="T11" s="88">
        <f>Q11/H3</f>
        <v>9.344257393176449E-5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1055.72</v>
      </c>
      <c r="F15" s="119"/>
      <c r="G15" s="119"/>
      <c r="H15" s="119"/>
      <c r="I15" s="132"/>
      <c r="J15" s="38"/>
      <c r="K15" s="113">
        <f>'Resumo Detalhado'!K2+'Resumo Detalhado'!L2</f>
        <v>1407.6336000000001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113.63000000000001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703.81680000000006</v>
      </c>
      <c r="L19" s="123"/>
      <c r="M19" s="38"/>
      <c r="N19" s="121" t="s">
        <v>579</v>
      </c>
      <c r="O19" s="119"/>
      <c r="P19" s="119"/>
      <c r="Q19" s="119"/>
      <c r="R19" s="120"/>
      <c r="S19" s="121">
        <f>_xlfn.XLOOKUP(N19,Target!C:C,Target!D:D)</f>
        <v>3900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6779.2331999999997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0.77056793188227379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601</v>
      </c>
      <c r="F1" s="29"/>
    </row>
    <row r="2" spans="1:18" x14ac:dyDescent="0.3">
      <c r="B2" s="29">
        <f>SUM(B6:B5000)</f>
        <v>8797.7100000000009</v>
      </c>
      <c r="C2" s="29">
        <f>SUM(C6:C5000)</f>
        <v>5350.88</v>
      </c>
      <c r="D2" s="29">
        <f>SUM(D6:D5000)</f>
        <v>0.5</v>
      </c>
      <c r="E2" s="29">
        <f>SUM(E6:E5000)</f>
        <v>70</v>
      </c>
      <c r="F2" s="29">
        <f>SUM(F6:F5000)</f>
        <v>0</v>
      </c>
      <c r="G2" s="29"/>
      <c r="H2" s="29">
        <f t="shared" ref="H2:P2" si="0">SUM(H6:H5000)</f>
        <v>1055.72</v>
      </c>
      <c r="I2" s="29">
        <f t="shared" si="0"/>
        <v>113.63000000000001</v>
      </c>
      <c r="J2" s="29">
        <f t="shared" si="0"/>
        <v>0</v>
      </c>
      <c r="K2" s="29">
        <f t="shared" si="0"/>
        <v>703.81680000000006</v>
      </c>
      <c r="L2" s="29">
        <f t="shared" si="0"/>
        <v>703.81680000000006</v>
      </c>
      <c r="M2" s="29">
        <f t="shared" si="0"/>
        <v>74.81</v>
      </c>
      <c r="N2" s="29">
        <f t="shared" si="0"/>
        <v>6779.2331999999997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595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3152</v>
      </c>
      <c r="B6" s="140">
        <v>8501.44</v>
      </c>
      <c r="C6" s="141">
        <v>5341.5</v>
      </c>
      <c r="D6" s="140">
        <v>0</v>
      </c>
      <c r="E6" s="140">
        <v>0</v>
      </c>
      <c r="F6" s="140">
        <v>0</v>
      </c>
      <c r="G6" s="142">
        <v>0</v>
      </c>
      <c r="H6" s="140">
        <v>1020.17</v>
      </c>
      <c r="I6" s="140">
        <v>112.51</v>
      </c>
      <c r="J6" s="140">
        <v>0</v>
      </c>
      <c r="K6" s="140">
        <v>680.11520000000007</v>
      </c>
      <c r="L6" s="140">
        <v>680.11520000000007</v>
      </c>
      <c r="M6" s="140">
        <v>74.81</v>
      </c>
      <c r="N6" s="140">
        <v>6613.8347999999996</v>
      </c>
      <c r="O6" s="142">
        <v>0.7779664151014416</v>
      </c>
      <c r="Q6"/>
    </row>
    <row r="7" spans="1:18" s="31" customFormat="1" x14ac:dyDescent="0.3">
      <c r="A7" s="9" t="s">
        <v>586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3116</v>
      </c>
      <c r="B8" s="140">
        <v>296.27</v>
      </c>
      <c r="C8" s="141">
        <v>9.3800000000000008</v>
      </c>
      <c r="D8" s="140">
        <v>0.5</v>
      </c>
      <c r="E8" s="140">
        <v>70</v>
      </c>
      <c r="F8" s="140">
        <v>0</v>
      </c>
      <c r="G8" s="142">
        <v>0.23795861882742095</v>
      </c>
      <c r="H8" s="140">
        <v>35.549999999999997</v>
      </c>
      <c r="I8" s="140">
        <v>1.1200000000000001</v>
      </c>
      <c r="J8" s="140">
        <v>0</v>
      </c>
      <c r="K8" s="140">
        <v>23.701599999999999</v>
      </c>
      <c r="L8" s="140">
        <v>23.701599999999999</v>
      </c>
      <c r="M8" s="140">
        <v>0</v>
      </c>
      <c r="N8" s="140">
        <v>165.39839999999998</v>
      </c>
      <c r="O8" s="142">
        <v>0.55826914638674174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601</v>
      </c>
    </row>
    <row r="2" spans="1:4" x14ac:dyDescent="0.3">
      <c r="B2" s="29">
        <f>SUM(B6:B5000)</f>
        <v>296.27</v>
      </c>
      <c r="C2" s="29">
        <f>SUM(C6:C5000)</f>
        <v>165.39839999999998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595</v>
      </c>
      <c r="B5" s="10">
        <v>8501.44</v>
      </c>
      <c r="C5" s="10">
        <v>6613.8347999999996</v>
      </c>
    </row>
    <row r="6" spans="1:4" x14ac:dyDescent="0.3">
      <c r="A6" s="9" t="s">
        <v>586</v>
      </c>
      <c r="B6" s="140">
        <v>296.27</v>
      </c>
      <c r="C6" s="140">
        <v>165.39839999999998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2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2026-09-18T14:01:04Z</dcterms:modified>
  <cp:category/>
  <cp:contentStatus/>
</cp:coreProperties>
</file>