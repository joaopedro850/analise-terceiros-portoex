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4562C92-B0E1-42BC-BC85-70540137CD9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<sst xmlns="http://schemas.openxmlformats.org/spreadsheetml/2006/main" count="882" uniqueCount="606">
  <si>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</si>
  <si>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</si>
  <si>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</si>
  <si>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</si>
  <si>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</si>
  <si>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</si>
  <si>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</si>
  <si>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</si>
  <si>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</si>
  <si>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</si>
  <si>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</si>
  <si>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</si>
  <si>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</si>
  <si>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</si>
  <si>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</si>
  <si>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</si>
  <si>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</si>
  <si>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</si>
  <si>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</si>
  <si>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</si>
  <si>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</si>
  <si>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</si>
  <si>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</si>
  <si>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</si>
  <si>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</si>
  <si>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</si>
  <si>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</si>
  <si>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</si>
  <si>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</si>
  <si>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</si>
  <si>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</si>
  <si>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</si>
  <si>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</si>
  <si>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</si>
  <si>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</si>
  <si>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</si>
  <si>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</si>
  <si>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</si>
  <si>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</si>
  <si>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</si>
  <si>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</si>
  <si>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</si>
  <si>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</si>
  <si>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</si>
  <si>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</si>
  <si>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</si>
  <si>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</si>
  <si>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</si>
  <si>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</si>
  <si>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</si>
  <si>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</si>
  <si>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</si>
  <si>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</si>
  <si>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</si>
  <si>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</si>
  <si>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</si>
  <si>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</si>
  <si>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</si>
  <si>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</si>
  <si>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</si>
  <si>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</si>
  <si>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</si>
  <si>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</si>
  <si>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</si>
  <si>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</si>
  <si>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</si>
  <si>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</si>
  <si>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</si>
  <si>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</si>
  <si>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</si>
  <si>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</si>
  <si>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</si>
  <si>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</si>
  <si>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</si>
  <si>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</si>
  <si>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</si>
  <si>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</si>
  <si>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</si>
  <si>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</si>
  <si>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</si>
  <si>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</si>
  <si>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</si>
  <si>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</si>
  <si>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</si>
  <si>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</si>
  <si>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</si>
  <si>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</si>
  <si>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</si>
  <si>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</si>
  <si>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</si>
  <si>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</si>
  <si>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</si>
  <si>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</si>
  <si>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</si>
  <si>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</si>
  <si>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</si>
  <si>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</si>
  <si>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</si>
  <si>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</si>
  <si>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</si>
  <si>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</si>
  <si>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</si>
  <si>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</si>
  <si>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</si>
  <si>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</si>
  <si>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</si>
  <si>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</si>
  <si>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</si>
  <si>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</si>
  <si>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</si>
  <si>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</si>
  <si>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</si>
  <si>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</si>
  <si>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</si>
  <si>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</si>
  <si>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</si>
  <si>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</si>
  <si>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</si>
  <si>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</si>
  <si>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</si>
  <si>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</si>
  <si>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</si>
  <si>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</si>
  <si>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</si>
  <si>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</si>
  <si>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</si>
  <si>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</si>
  <si>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</si>
  <si>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</si>
  <si>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</si>
  <si>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</si>
  <si>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</si>
  <si>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</si>
  <si>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</si>
  <si>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</si>
  <si>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</si>
  <si>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</si>
  <si>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</si>
  <si>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</si>
  <si>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</si>
  <si>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</si>
  <si>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</si>
  <si>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</si>
  <si>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</si>
  <si>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</si>
  <si>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</si>
  <si>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</si>
  <si>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</si>
  <si>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</si>
  <si>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</si>
  <si>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</si>
  <si>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</si>
  <si>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</si>
  <si>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</si>
  <si>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</si>
  <si>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</si>
  <si>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</si>
  <si>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</si>
  <si>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</si>
  <si>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</si>
  <si>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</si>
  <si>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</si>
  <si>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</si>
  <si>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</si>
  <si>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</si>
  <si>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</si>
  <si>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</si>
  <si>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</si>
  <si>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</si>
  <si>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</si>
  <si>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</si>
  <si>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</si>
  <si>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</si>
  <si>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</si>
  <si>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</si>
  <si>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</si>
  <si>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</si>
  <si>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</si>
  <si>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</si>
  <si>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</si>
  <si>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</si>
  <si>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</si>
  <si>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</si>
  <si>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</si>
  <si>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</si>
  <si>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</si>
  <si>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</si>
  <si>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</si>
  <si>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</si>
  <si>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</si>
  <si>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</si>
  <si>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</si>
  <si>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</si>
  <si>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</si>
  <si>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</si>
  <si>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</si>
  <si>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</si>
  <si>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</si>
  <si>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</si>
  <si>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</si>
  <si>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</si>
  <si>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</si>
  <si>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</si>
  <si>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</si>
  <si>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</si>
  <si>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</si>
  <si>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</si>
  <si>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</si>
  <si>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</si>
  <si>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</si>
  <si>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</si>
  <si>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</si>
  <si>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</si>
  <si>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</si>
  <si>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</si>
  <si>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</si>
  <si>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</si>
  <si>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</si>
  <si>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</si>
  <si>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</si>
  <si>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</si>
  <si>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</si>
  <si>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</si>
  <si>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</si>
  <si>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</si>
  <si>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</si>
  <si>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</si>
  <si>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</si>
  <si>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</si>
  <si>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</si>
  <si>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</si>
  <si>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</si>
  <si>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</si>
  <si>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</si>
  <si>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</si>
  <si>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</si>
  <si>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</si>
  <si>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</si>
  <si>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</si>
  <si>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</si>
  <si>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</si>
  <si>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</si>
  <si>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</si>
  <si>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</si>
  <si>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</si>
  <si>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</si>
  <si>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</si>
  <si>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</si>
  <si>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</si>
  <si>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</si>
  <si>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</si>
  <si>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</si>
  <si>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</si>
  <si>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</si>
  <si>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</si>
  <si>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</si>
  <si>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</si>
  <si>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</si>
  <si>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</si>
  <si>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</si>
  <si>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</si>
  <si>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</si>
  <si>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</si>
  <si>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</si>
  <si>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</si>
  <si>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</si>
  <si>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</si>
  <si>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</si>
  <si>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</si>
  <si>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</si>
  <si>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</si>
  <si>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</si>
  <si>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</si>
  <si>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</si>
  <si>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</si>
  <si>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</si>
  <si>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</si>
  <si>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</si>
  <si>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</si>
  <si>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</si>
  <si>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</si>
  <si>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</si>
  <si>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</si>
  <si>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</si>
  <si>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</si>
  <si>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</si>
  <si>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</si>
  <si>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</si>
  <si>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</si>
  <si>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</si>
  <si>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</si>
  <si>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</si>
  <si>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</si>
  <si>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</si>
  <si>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</si>
  <si>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</si>
  <si>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</si>
  <si>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</si>
  <si>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</si>
  <si>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</si>
  <si>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</si>
  <si>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</si>
  <si>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</si>
  <si>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</si>
  <si>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</si>
  <si>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</si>
  <si>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</si>
  <si>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</si>
  <si>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</si>
  <si>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</si>
  <si>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</si>
  <si>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</si>
  <si>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</si>
  <si>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</si>
  <si>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</si>
  <si>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</si>
  <si>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</si>
  <si>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</si>
  <si>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</si>
  <si>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</si>
  <si>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</si>
  <si>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</si>
  <si>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</si>
  <si>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</si>
  <si>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</si>
  <si>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</si>
  <si>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</si>
  <si>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</si>
  <si>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</si>
  <si>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</si>
  <si>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</si>
  <si>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</si>
  <si>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</si>
  <si>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</si>
  <si>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</si>
  <si>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</si>
  <si>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</si>
  <si>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</si>
  <si>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</si>
  <si>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</si>
  <si>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</si>
  <si>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</si>
  <si>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</si>
  <si>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</si>
  <si>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</si>
  <si>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</si>
  <si>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</si>
  <si>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</si>
  <si>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</si>
  <si>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</si>
  <si>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</si>
  <si>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</si>
  <si>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</si>
  <si>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</si>
  <si>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</si>
  <si>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</si>
  <si>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</si>
  <si>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</si>
  <si>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</si>
  <si>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</si>
  <si>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</si>
  <si>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</si>
  <si>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</si>
  <si>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</si>
  <si>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</si>
  <si>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</si>
  <si>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</si>
  <si>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</si>
  <si>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</si>
  <si>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</si>
  <si>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</si>
  <si>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</si>
  <si>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</si>
  <si>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</si>
  <si>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</si>
  <si>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</si>
  <si>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</si>
  <si>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</si>
  <si>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</si>
  <si>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</si>
  <si>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</si>
  <si>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</si>
  <si>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</si>
  <si>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</si>
  <si>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</si>
  <si>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</si>
  <si>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</si>
  <si>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</si>
  <si>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</si>
  <si>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</si>
  <si>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</si>
  <si>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</si>
  <si>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</si>
  <si>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</si>
  <si>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</si>
  <si>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</si>
  <si>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</si>
  <si>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</si>
  <si>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</si>
  <si>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</si>
  <si>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</si>
  <si>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</si>
  <si>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</si>
  <si>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</si>
  <si>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</si>
  <si>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</si>
  <si>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</si>
  <si>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</si>
  <si>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</si>
  <si>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</si>
  <si>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</si>
  <si>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</si>
  <si>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</si>
  <si>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</si>
  <si>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</si>
  <si>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</si>
  <si>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</si>
  <si>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</si>
  <si>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</si>
  <si>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</si>
  <si>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</si>
  <si>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</si>
  <si>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</si>
  <si>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</si>
  <si>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</si>
  <si>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</si>
  <si>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</si>
  <si>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</si>
  <si>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</si>
  <si>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</si>
  <si>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</si>
  <si>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</si>
  <si>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</si>
  <si>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</si>
  <si>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</si>
  <si>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</si>
  <si>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</si>
  <si>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</si>
  <si>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</si>
  <si>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</si>
  <si>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</si>
  <si>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</si>
  <si>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</si>
  <si>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</si>
  <si>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</si>
  <si>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</si>
  <si>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</si>
  <si>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</si>
  <si>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</si>
  <si>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</si>
  <si>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</si>
  <si>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</si>
  <si>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</si>
  <si>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</si>
  <si>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</si>
  <si>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</si>
  <si>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</si>
  <si>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</si>
  <si>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</si>
  <si>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</si>
  <si>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</si>
  <si>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</si>
  <si>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</si>
  <si>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</si>
  <si>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</si>
  <si>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</si>
  <si>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</si>
  <si>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</si>
  <si>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</si>
  <si>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</si>
  <si>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</si>
  <si>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</si>
  <si>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</si>
  <si>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</si>
  <si>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</si>
  <si>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</si>
  <si>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</si>
  <si>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</si>
  <si>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</si>
  <si>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</si>
  <si>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</si>
  <si>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</si>
  <si>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</si>
  <si>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</si>
  <si>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</si>
  <si>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</si>
  <si>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</si>
  <si>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</si>
  <si>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</si>
  <si>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</si>
  <si>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</si>
  <si>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</si>
  <si>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</si>
  <si>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</si>
  <si>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</si>
  <si>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</si>
  <si>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</si>
  <si>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</si>
  <si>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</si>
  <si>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</si>
  <si>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</si>
  <si>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</si>
  <si>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</si>
  <si>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</si>
  <si>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</si>
  <si>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</si>
  <si>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</si>
  <si>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</si>
  <si>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</si>
  <si>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</si>
  <si>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</si>
  <si>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</si>
  <si>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</si>
  <si>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</si>
  <si>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</si>
  <si>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</si>
  <si>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</si>
  <si>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</si>
  <si>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</si>
  <si>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</si>
  <si>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</si>
  <si>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</si>
  <si>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</si>
  <si>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</si>
  <si>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</si>
  <si>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</si>
  <si>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</si>
  <si>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</si>
  <si>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</si>
  <si>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</si>
  <si>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</si>
  <si>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</si>
  <si>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</si>
  <si>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</si>
  <si>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</si>
  <si>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</si>
  <si>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</si>
  <si>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</si>
  <si>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</si>
  <si>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</si>
  <si>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</si>
  <si>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</si>
  <si>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</si>
  <si>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</si>
  <si>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</si>
  <si>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</si>
  <si>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</si>
  <si>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</si>
  <si>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</si>
  <si>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</si>
  <si>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</si>
  <si>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</si>
  <si>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</si>
  <si>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</si>
  <si>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</si>
  <si>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</si>
  <si>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</si>
  <si>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</si>
  <si>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</si>
  <si>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</si>
  <si>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</si>
  <si>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</si>
  <si>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</si>
  <si>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</si>
  <si>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</si>
  <si>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</si>
  <si>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</si>
  <si>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</si>
  <si>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</si>
  <si>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</si>
  <si>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</si>
  <si>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</si>
  <si>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</si>
  <si>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</si>
  <si>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</si>
  <si>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</si>
  <si>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</si>
  <si>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</si>
  <si>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</si>
  <si>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</si>
  <si>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</si>
  <si>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</si>
  <si>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</si>
  <si>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</si>
  <si>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</si>
  <si>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</si>
  <si>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</si>
  <si>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</si>
  <si>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</si>
  <si>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</si>
  <si>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MATRIZ</t>
  </si>
  <si>
    <t>203312-1</t>
  </si>
  <si>
    <t>ITACORDA INDUST</t>
  </si>
  <si>
    <t>TIAGO SANTANA</t>
  </si>
  <si>
    <t>EXPRESSO_250</t>
  </si>
  <si>
    <t>CTE NORMAL</t>
  </si>
  <si>
    <t>SUZANO - SP</t>
  </si>
  <si>
    <t>FLAVIO MANOEL DA SILVA</t>
  </si>
  <si>
    <t>N/D</t>
  </si>
  <si>
    <t>WILLIAM DO NASCIMENTO ROD</t>
  </si>
  <si>
    <t>203287-1</t>
  </si>
  <si>
    <t>COMEXPORT COMPA</t>
  </si>
  <si>
    <t>MICHELL MARQUES</t>
  </si>
  <si>
    <t>PERSONALIZADO_L</t>
  </si>
  <si>
    <t>ANAPOLIS - GO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</si>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</sst>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[Analise_WILLIAM_17092026.xlsx]Resumo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13466.22</c:v>
                </c:pt>
                <c:pt idx="1">
                  <c:v>555.67999999999995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10634.492400000001</c:v>
                </c:pt>
                <c:pt idx="1">
                  <c:v>437.78559999999993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[Analise_WILLIAM_17092026.xlsx]Resumo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13466.22</c:v>
                </c:pt>
                <c:pt idx="1">
                  <c:v>555.67999999999995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COMEXPORT COMPA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10634.492400000001</c:v>
                </c:pt>
                <c:pt idx="1">
                  <c:v>437.78559999999993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7.41511759259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296" count="8000">
        <n v="301198"/>
        <n v="30129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7T00:00:00"/>
    </cacheField>
    <cacheField name="DATA" numFmtId="14">
      <sharedItems containsNonDate="0" containsDate="1" containsString="0" containsBlank="1" minDate="2026-09-16T00:00:00" maxDate="2026-09-1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ITACORDA INDUST"/>
        <s v="COMEXPORT COMP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52.04" maxValue="1623584.11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55.67999999999995" maxValue="13466.22"/>
    </cacheField>
    <cacheField name="VOLUMES" numFmtId="0">
      <sharedItems containsString="0" containsBlank="1" containsNumber="1" containsInteger="1" minValue="4" maxValue="6"/>
    </cacheField>
    <cacheField name="PESO" numFmtId="0">
      <sharedItems containsString="0" containsBlank="1" containsNumber="1" minValue="7.8" maxValue="1771.9"/>
    </cacheField>
    <cacheField name="RESP. COLETA" numFmtId="0">
      <sharedItems containsBlank="1"/>
    </cacheField>
    <cacheField name="CUSTO COLETA" numFmtId="0">
      <sharedItems containsString="0" containsBlank="1" containsNumber="1" minValue="0" maxValue="1.7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66.680000000000007" maxValue="942.6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13" maxValue="811.7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03.17" maxValue="9619.81"/>
    </cacheField>
    <cacheField name="RECEITA" numFmtId="0">
      <sharedItems containsString="0" containsBlank="1" containsNumber="1" minValue="452.51" maxValue="3846.41"/>
    </cacheField>
    <cacheField name="IMPOSTO" numFmtId="0">
      <sharedItems containsString="0" containsBlank="1" containsNumber="1" minValue="144.47999999999999" maxValue="3501.22"/>
    </cacheField>
    <cacheField name="RESULTADO" numFmtId="0">
      <sharedItems containsString="0" containsBlank="1" containsNumber="1" minValue="308.02999999999997" maxValue="345.19"/>
    </cacheField>
    <cacheField name="COMIS" numFmtId="0">
      <sharedItems containsString="0" containsBlank="1" containsNumber="1" minValue="0" maxValue="4.8899999999999997"/>
    </cacheField>
    <cacheField name="LUCRO LIQ" numFmtId="0">
      <sharedItems containsString="0" containsBlank="1" containsNumber="1" minValue="303.14" maxValue="345.19"/>
    </cacheField>
    <cacheField name="MARGEM" numFmtId="10">
      <sharedItems containsString="0" containsBlank="1" containsNumber="1" minValue="2.5600000000000001E-2" maxValue="0.5454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6T00:00:00"/>
    <d v="2026-09-16T00:00:00"/>
    <m/>
    <s v="203312-1"/>
    <x v="0"/>
    <s v="TIAGO SANTANA"/>
    <n v="252.04"/>
    <x v="0"/>
    <s v="CTE NORMAL"/>
    <s v="SUZANO - SP"/>
    <n v="555.67999999999995"/>
    <n v="4"/>
    <n v="7.8"/>
    <s v="FLAVIO MANOEL DA SILVA"/>
    <n v="1.74"/>
    <s v="N/D"/>
    <n v="0"/>
    <s v="WILLIAM DO NASCIMENTO ROD"/>
    <n v="0"/>
    <n v="66.680000000000007"/>
    <n v="0"/>
    <n v="0"/>
    <n v="0.13"/>
    <n v="0"/>
    <n v="103.17"/>
    <n v="452.51"/>
    <n v="144.47999999999999"/>
    <n v="308.02999999999997"/>
    <n v="4.8899999999999997"/>
    <n v="303.14"/>
    <n v="0.54549999999999998"/>
    <m/>
  </r>
  <r>
    <x v="1"/>
    <s v="MATRIZ"/>
    <d v="2026-09-15T00:00:00"/>
    <d v="2026-09-16T00:00:00"/>
    <m/>
    <s v="203287-1"/>
    <x v="1"/>
    <s v="MICHELL MARQUES"/>
    <n v="1623584.11"/>
    <x v="1"/>
    <s v="CTE NORMAL"/>
    <s v="ANAPOLIS - GO"/>
    <n v="13466.22"/>
    <n v="6"/>
    <n v="1771.9"/>
    <s v="MATRIZ"/>
    <n v="0"/>
    <s v="N/D"/>
    <n v="0"/>
    <s v="WILLIAM DO NASCIMENTO ROD"/>
    <n v="0"/>
    <n v="942.64"/>
    <n v="0"/>
    <n v="0"/>
    <n v="811.79"/>
    <n v="0"/>
    <n v="9619.81"/>
    <n v="3846.41"/>
    <n v="3501.22"/>
    <n v="345.19"/>
    <n v="0"/>
    <n v="345.19"/>
    <n v="2.5600000000000001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5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5"/>
        <item sd="0" m="1" x="503"/>
        <item m="1" x="25"/>
        <item m="1" x="582"/>
        <item m="1" x="852"/>
        <item m="1" x="21"/>
        <item m="1" x="757"/>
        <item m="1" x="113"/>
        <item m="1" x="546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4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1"/>
        <item m="1" x="665"/>
        <item m="1" x="520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2"/>
        <item m="1" x="207"/>
        <item m="1" x="674"/>
        <item m="1" x="140"/>
        <item m="1" x="688"/>
        <item m="1" x="454"/>
        <item m="1" x="409"/>
        <item m="1" x="517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3"/>
        <item m="1" x="464"/>
        <item m="1" x="139"/>
        <item m="1" x="661"/>
        <item m="1" x="373"/>
        <item m="1" x="155"/>
        <item m="1" x="252"/>
        <item m="1" x="629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4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x="1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2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3"/>
        <item m="1" x="288"/>
        <item m="1" x="630"/>
        <item m="1" x="266"/>
        <item m="1" x="116"/>
        <item m="1" x="334"/>
        <item m="1" x="221"/>
        <item m="1" x="511"/>
        <item m="1" x="118"/>
        <item sd="0" m="1" x="538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9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m="1" x="703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40"/>
        <item m="1" x="209"/>
        <item m="1" x="671"/>
        <item m="1" x="487"/>
        <item m="1" x="641"/>
        <item m="1" x="607"/>
        <item m="1" x="533"/>
        <item sd="0" m="1" x="564"/>
        <item m="1" x="738"/>
        <item m="1" x="518"/>
        <item sd="0" m="1" x="387"/>
        <item m="1" x="547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1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8"/>
        <item m="1" x="332"/>
        <item m="1" x="626"/>
        <item m="1" x="543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x="0"/>
        <item m="1" x="61"/>
        <item m="1" x="453"/>
        <item m="1" x="774"/>
        <item m="1" x="486"/>
        <item m="1" x="740"/>
        <item sd="0" m="1" x="455"/>
        <item m="1" x="522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2"/>
        <item m="1" x="136"/>
        <item m="1" x="331"/>
        <item m="1" x="537"/>
        <item sd="0" m="1" x="238"/>
        <item m="1" x="558"/>
        <item m="1" x="548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9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2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2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6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4"/>
        <item m="1" x="789"/>
        <item m="1" x="20"/>
        <item m="1" x="539"/>
        <item m="1" x="637"/>
        <item m="1" x="576"/>
        <item sd="0" m="1" x="198"/>
        <item m="1" x="575"/>
        <item m="1" x="366"/>
        <item m="1" x="823"/>
        <item m="1" x="337"/>
        <item m="1" x="525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7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30"/>
        <item m="1" x="567"/>
        <item m="1" x="687"/>
        <item m="1" x="281"/>
        <item m="1" x="526"/>
        <item m="1" x="527"/>
        <item m="1" x="38"/>
        <item m="1" x="593"/>
        <item m="1" x="801"/>
        <item m="1" x="584"/>
        <item m="1" x="749"/>
        <item m="1" x="722"/>
        <item m="1" x="534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1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6"/>
        <item m="1" x="620"/>
        <item m="1" x="731"/>
        <item m="1" x="472"/>
        <item m="1" x="552"/>
        <item m="1" x="265"/>
        <item m="1" x="251"/>
        <item m="1" x="633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8"/>
        <item m="1" x="614"/>
        <item m="1" x="777"/>
        <item m="1" x="395"/>
        <item m="1" x="401"/>
        <item m="1" x="704"/>
        <item m="1" x="404"/>
        <item m="1" x="830"/>
        <item m="1" x="496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2"/>
        <item m="1" x="205"/>
        <item sd="0" m="1" x="644"/>
        <item m="1" x="779"/>
        <item sd="0" m="1" x="469"/>
        <item sd="0" m="1" x="41"/>
        <item m="1" x="693"/>
        <item m="1" x="663"/>
        <item sd="0" m="1" x="808"/>
        <item m="1" x="816"/>
        <item m="1" x="625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79"/>
        <item m="1" x="82"/>
        <item m="1" x="635"/>
        <item m="1" x="67"/>
        <item m="1" x="651"/>
        <item m="1" x="490"/>
        <item m="1" x="753"/>
        <item m="1" x="164"/>
        <item m="1" x="192"/>
        <item m="1" x="678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9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67"/>
    </i>
    <i r="1">
      <x v="7999"/>
    </i>
    <i>
      <x v="38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5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5"/>
        <item sd="0" m="1" x="503"/>
        <item m="1" x="25"/>
        <item m="1" x="582"/>
        <item m="1" x="852"/>
        <item m="1" x="21"/>
        <item m="1" x="757"/>
        <item m="1" x="113"/>
        <item m="1" x="546"/>
        <item m="1" x="828"/>
        <item m="1" x="271"/>
        <item m="1" x="480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70"/>
        <item m="1" x="45"/>
        <item sd="0" m="1" x="730"/>
        <item m="1" x="689"/>
        <item m="1" x="217"/>
        <item sd="0" m="1" x="477"/>
        <item m="1" x="634"/>
        <item m="1" x="447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1"/>
        <item m="1" x="665"/>
        <item m="1" x="520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2"/>
        <item m="1" x="207"/>
        <item m="1" x="674"/>
        <item m="1" x="140"/>
        <item m="1" x="688"/>
        <item m="1" x="454"/>
        <item m="1" x="409"/>
        <item m="1" x="517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3"/>
        <item m="1" x="464"/>
        <item m="1" x="139"/>
        <item m="1" x="661"/>
        <item m="1" x="373"/>
        <item m="1" x="155"/>
        <item m="1" x="252"/>
        <item m="1" x="629"/>
        <item m="1" x="736"/>
        <item m="1" x="422"/>
        <item m="1" x="81"/>
        <item m="1" x="696"/>
        <item m="1" x="285"/>
        <item m="1" x="846"/>
        <item m="1" x="249"/>
        <item sd="0" m="1" x="763"/>
        <item m="1" x="426"/>
        <item m="1" x="437"/>
        <item m="1" x="168"/>
        <item m="1" x="544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x="1"/>
        <item m="1" x="795"/>
        <item sd="0" m="1" x="695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2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3"/>
        <item m="1" x="288"/>
        <item m="1" x="630"/>
        <item m="1" x="266"/>
        <item m="1" x="116"/>
        <item m="1" x="334"/>
        <item m="1" x="221"/>
        <item m="1" x="511"/>
        <item m="1" x="118"/>
        <item sd="0" m="1" x="538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9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8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sd="0" m="1" x="703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40"/>
        <item m="1" x="209"/>
        <item m="1" x="671"/>
        <item m="1" x="487"/>
        <item m="1" x="641"/>
        <item m="1" x="607"/>
        <item m="1" x="533"/>
        <item sd="0" m="1" x="564"/>
        <item m="1" x="738"/>
        <item m="1" x="518"/>
        <item sd="0" m="1" x="387"/>
        <item m="1" x="547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7"/>
        <item m="1" x="24"/>
        <item m="1" x="37"/>
        <item m="1" x="9"/>
        <item m="1" x="419"/>
        <item sd="0" m="1" x="683"/>
        <item m="1" x="286"/>
        <item m="1" x="317"/>
        <item m="1" x="381"/>
        <item m="1" x="541"/>
        <item m="1" x="315"/>
        <item m="1" x="340"/>
        <item m="1" x="771"/>
        <item m="1" x="144"/>
        <item m="1" x="666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8"/>
        <item m="1" x="332"/>
        <item m="1" x="626"/>
        <item m="1" x="543"/>
        <item sd="0" m="1" x="370"/>
        <item sd="0" m="1" x="336"/>
        <item sd="0" m="1" x="176"/>
        <item m="1" x="421"/>
        <item m="1" x="701"/>
        <item m="1" x="697"/>
        <item m="1" x="380"/>
        <item m="1" x="349"/>
        <item m="1" x="151"/>
        <item m="1" x="759"/>
        <item sd="0" m="1" x="690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x="0"/>
        <item m="1" x="61"/>
        <item m="1" x="453"/>
        <item m="1" x="774"/>
        <item m="1" x="486"/>
        <item m="1" x="740"/>
        <item sd="0" m="1" x="455"/>
        <item m="1" x="522"/>
        <item m="1" x="163"/>
        <item sd="0" m="1" x="405"/>
        <item m="1" x="741"/>
        <item m="1" x="195"/>
        <item m="1" x="746"/>
        <item m="1" x="385"/>
        <item sd="0" m="1" x="138"/>
        <item m="1" x="658"/>
        <item m="1" x="431"/>
        <item m="1" x="664"/>
        <item m="1" x="494"/>
        <item sd="0" m="1" x="685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0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2"/>
        <item m="1" x="136"/>
        <item m="1" x="331"/>
        <item m="1" x="537"/>
        <item sd="0" m="1" x="238"/>
        <item m="1" x="558"/>
        <item m="1" x="548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1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9"/>
        <item m="1" x="424"/>
        <item m="1" x="788"/>
        <item m="1" x="302"/>
        <item m="1" x="310"/>
        <item m="1" x="368"/>
        <item m="1" x="492"/>
        <item m="1" x="662"/>
        <item m="1" x="189"/>
        <item m="1" x="659"/>
        <item m="1" x="222"/>
        <item m="1" x="450"/>
        <item m="1" x="148"/>
        <item m="1" x="363"/>
        <item m="1" x="264"/>
        <item m="1" x="292"/>
        <item m="1" x="542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2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7"/>
        <item m="1" x="311"/>
        <item m="1" x="75"/>
        <item sd="0" m="1" x="669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6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4"/>
        <item m="1" x="789"/>
        <item m="1" x="20"/>
        <item m="1" x="539"/>
        <item m="1" x="637"/>
        <item m="1" x="576"/>
        <item sd="0" m="1" x="198"/>
        <item m="1" x="575"/>
        <item m="1" x="366"/>
        <item m="1" x="823"/>
        <item m="1" x="337"/>
        <item m="1" x="525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7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30"/>
        <item m="1" x="567"/>
        <item m="1" x="687"/>
        <item m="1" x="281"/>
        <item m="1" x="526"/>
        <item m="1" x="527"/>
        <item m="1" x="38"/>
        <item m="1" x="593"/>
        <item m="1" x="801"/>
        <item m="1" x="584"/>
        <item m="1" x="749"/>
        <item m="1" x="722"/>
        <item m="1" x="534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1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6"/>
        <item m="1" x="620"/>
        <item m="1" x="731"/>
        <item m="1" x="472"/>
        <item m="1" x="552"/>
        <item m="1" x="265"/>
        <item m="1" x="251"/>
        <item m="1" x="633"/>
        <item m="1" x="699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4"/>
        <item m="1" x="306"/>
        <item sd="0" m="1" x="356"/>
        <item m="1" x="403"/>
        <item m="1" x="618"/>
        <item m="1" x="614"/>
        <item m="1" x="777"/>
        <item m="1" x="395"/>
        <item m="1" x="401"/>
        <item m="1" x="704"/>
        <item m="1" x="404"/>
        <item m="1" x="830"/>
        <item m="1" x="496"/>
        <item m="1" x="396"/>
        <item m="1" x="670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2"/>
        <item m="1" x="205"/>
        <item sd="0" m="1" x="644"/>
        <item m="1" x="779"/>
        <item sd="0" m="1" x="469"/>
        <item sd="0" m="1" x="41"/>
        <item m="1" x="693"/>
        <item m="1" x="663"/>
        <item sd="0" m="1" x="808"/>
        <item m="1" x="816"/>
        <item m="1" x="625"/>
        <item m="1" x="460"/>
        <item m="1" x="691"/>
        <item sd="0" m="1" x="135"/>
        <item m="1" x="411"/>
        <item m="1" x="692"/>
        <item m="1" x="443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79"/>
        <item m="1" x="82"/>
        <item m="1" x="635"/>
        <item m="1" x="67"/>
        <item m="1" x="651"/>
        <item m="1" x="490"/>
        <item m="1" x="753"/>
        <item m="1" x="164"/>
        <item m="1" x="192"/>
        <item m="1" x="678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9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67"/>
    </i>
    <i>
      <x v="38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5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1" s="1" nd="1"/>
        <i x="325" s="1" nd="1"/>
        <i x="675" s="1" nd="1"/>
        <i x="503" s="1" nd="1"/>
        <i x="25" s="1" nd="1"/>
        <i x="582" s="1" nd="1"/>
        <i x="852" s="1" nd="1"/>
        <i x="21" s="1" nd="1"/>
        <i x="757" s="1" nd="1"/>
        <i x="113" s="1" nd="1"/>
        <i x="546" s="1" nd="1"/>
        <i x="828" s="1" nd="1"/>
        <i x="271" s="1" nd="1"/>
        <i x="480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70" s="1" nd="1"/>
        <i x="45" s="1" nd="1"/>
        <i x="730" s="1" nd="1"/>
        <i x="689" s="1" nd="1"/>
        <i x="217" s="1" nd="1"/>
        <i x="477" s="1" nd="1"/>
        <i x="634" s="1" nd="1"/>
        <i x="447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2" s="1" nd="1"/>
        <i x="507" s="1" nd="1"/>
        <i x="554" s="1" nd="1"/>
        <i x="478" s="1" nd="1"/>
        <i x="245" s="1" nd="1"/>
        <i x="848" s="1" nd="1"/>
        <i x="832" s="1" nd="1"/>
        <i x="742" s="1" nd="1"/>
        <i x="241" s="1" nd="1"/>
        <i x="240" s="1" nd="1"/>
        <i x="463" s="1" nd="1"/>
        <i x="287" s="1" nd="1"/>
        <i x="550" s="1" nd="1"/>
        <i x="845" s="1" nd="1"/>
        <i x="446" s="1" nd="1"/>
        <i x="531" s="1" nd="1"/>
        <i x="665" s="1" nd="1"/>
        <i x="520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2" s="1" nd="1"/>
        <i x="207" s="1" nd="1"/>
        <i x="674" s="1" nd="1"/>
        <i x="140" s="1" nd="1"/>
        <i x="688" s="1" nd="1"/>
        <i x="454" s="1" nd="1"/>
        <i x="409" s="1" nd="1"/>
        <i x="517" s="1" nd="1"/>
        <i x="319" s="1" nd="1"/>
        <i x="592" s="1" nd="1"/>
        <i x="596" s="1" nd="1"/>
        <i x="732" s="1" nd="1"/>
        <i x="785" s="1" nd="1"/>
        <i x="184" s="1" nd="1"/>
        <i x="835" s="1" nd="1"/>
        <i x="711" s="1" nd="1"/>
        <i x="379" s="1" nd="1"/>
        <i x="208" s="1" nd="1"/>
        <i x="523" s="1" nd="1"/>
        <i x="464" s="1" nd="1"/>
        <i x="139" s="1" nd="1"/>
        <i x="661" s="1" nd="1"/>
        <i x="373" s="1" nd="1"/>
        <i x="155" s="1" nd="1"/>
        <i x="252" s="1" nd="1"/>
        <i x="629" s="1" nd="1"/>
        <i x="736" s="1" nd="1"/>
        <i x="422" s="1" nd="1"/>
        <i x="81" s="1" nd="1"/>
        <i x="696" s="1" nd="1"/>
        <i x="285" s="1" nd="1"/>
        <i x="846" s="1" nd="1"/>
        <i x="249" s="1" nd="1"/>
        <i x="763" s="1" nd="1"/>
        <i x="426" s="1" nd="1"/>
        <i x="437" s="1" nd="1"/>
        <i x="168" s="1" nd="1"/>
        <i x="544" s="1" nd="1"/>
        <i x="806" s="1" nd="1"/>
        <i x="621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7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795" s="1" nd="1"/>
        <i x="695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0" s="1" nd="1"/>
        <i x="458" s="1" nd="1"/>
        <i x="479" s="1" nd="1"/>
        <i x="750" s="1" nd="1"/>
        <i x="639" s="1" nd="1"/>
        <i x="54" s="1" nd="1"/>
        <i x="793" s="1" nd="1"/>
        <i x="716" s="1" nd="1"/>
        <i x="418" s="1" nd="1"/>
        <i x="734" s="1" nd="1"/>
        <i x="813" s="1" nd="1"/>
        <i x="562" s="1" nd="1"/>
        <i x="559" s="1" nd="1"/>
        <i x="430" s="1" nd="1"/>
        <i x="714" s="1" nd="1"/>
        <i x="506" s="1" nd="1"/>
        <i x="174" s="1" nd="1"/>
        <i x="628" s="1" nd="1"/>
        <i x="376" s="1" nd="1"/>
        <i x="807" s="1" nd="1"/>
        <i x="60" s="1" nd="1"/>
        <i x="632" s="1" nd="1"/>
        <i x="532" s="1" nd="1"/>
        <i x="296" s="1" nd="1"/>
        <i x="305" s="1" nd="1"/>
        <i x="175" s="1" nd="1"/>
        <i x="102" s="1" nd="1"/>
        <i x="71" s="1" nd="1"/>
        <i x="579" s="1" nd="1"/>
        <i x="798" s="1" nd="1"/>
        <i x="33" s="1" nd="1"/>
        <i x="673" s="1" nd="1"/>
        <i x="288" s="1" nd="1"/>
        <i x="630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3" s="1" nd="1"/>
        <i x="580" s="1" nd="1"/>
        <i x="519" s="1" nd="1"/>
        <i x="797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8" s="1" nd="1"/>
        <i x="211" s="1" nd="1"/>
        <i x="440" s="1" nd="1"/>
        <i x="103" s="1" nd="1"/>
        <i x="197" s="1" nd="1"/>
        <i x="831" s="1" nd="1"/>
        <i x="764" s="1" nd="1"/>
        <i x="510" s="1" nd="1"/>
        <i x="821" s="1" nd="1"/>
        <i x="342" s="1" nd="1"/>
        <i x="224" s="1" nd="1"/>
        <i x="65" s="1" nd="1"/>
        <i x="636" s="1" nd="1"/>
        <i x="459" s="1" nd="1"/>
        <i x="790" s="1" nd="1"/>
        <i x="703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40" s="1" nd="1"/>
        <i x="209" s="1" nd="1"/>
        <i x="671" s="1" nd="1"/>
        <i x="487" s="1" nd="1"/>
        <i x="641" s="1" nd="1"/>
        <i x="607" s="1" nd="1"/>
        <i x="533" s="1" nd="1"/>
        <i x="564" s="1" nd="1"/>
        <i x="738" s="1" nd="1"/>
        <i x="518" s="1" nd="1"/>
        <i x="387" s="1" nd="1"/>
        <i x="547" s="1" nd="1"/>
        <i x="214" s="1" nd="1"/>
        <i x="416" s="1" nd="1"/>
        <i x="420" s="1" nd="1"/>
        <i x="802" s="1" nd="1"/>
        <i x="42" s="1" nd="1"/>
        <i x="805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7" s="1" nd="1"/>
        <i x="24" s="1" nd="1"/>
        <i x="37" s="1" nd="1"/>
        <i x="9" s="1" nd="1"/>
        <i x="419" s="1" nd="1"/>
        <i x="683" s="1" nd="1"/>
        <i x="286" s="1" nd="1"/>
        <i x="317" s="1" nd="1"/>
        <i x="381" s="1" nd="1"/>
        <i x="541" s="1" nd="1"/>
        <i x="315" s="1" nd="1"/>
        <i x="340" s="1" nd="1"/>
        <i x="771" s="1" nd="1"/>
        <i x="144" s="1" nd="1"/>
        <i x="666" s="1" nd="1"/>
        <i x="839" s="1" nd="1"/>
        <i x="39" s="1" nd="1"/>
        <i x="384" s="1" nd="1"/>
        <i x="590" s="1" nd="1"/>
        <i x="747" s="1" nd="1"/>
        <i x="270" s="1" nd="1"/>
        <i x="18" s="1" nd="1"/>
        <i x="638" s="1" nd="1"/>
        <i x="390" s="1" nd="1"/>
        <i x="481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8" s="1" nd="1"/>
        <i x="332" s="1" nd="1"/>
        <i x="626" s="1" nd="1"/>
        <i x="543" s="1" nd="1"/>
        <i x="370" s="1" nd="1"/>
        <i x="336" s="1" nd="1"/>
        <i x="176" s="1" nd="1"/>
        <i x="421" s="1" nd="1"/>
        <i x="701" s="1" nd="1"/>
        <i x="697" s="1" nd="1"/>
        <i x="380" s="1" nd="1"/>
        <i x="349" s="1" nd="1"/>
        <i x="151" s="1" nd="1"/>
        <i x="759" s="1" nd="1"/>
        <i x="690" s="1" nd="1"/>
        <i x="22" s="1" nd="1"/>
        <i x="727" s="1" nd="1"/>
        <i x="780" s="1" nd="1"/>
        <i x="640" s="1" nd="1"/>
        <i x="330" s="1" nd="1"/>
        <i x="369" s="1" nd="1"/>
        <i x="815" s="1" nd="1"/>
        <i x="776" s="1" nd="1"/>
        <i x="145" s="1" nd="1"/>
        <i x="499" s="1" nd="1"/>
        <i x="468" s="1" nd="1"/>
        <i x="141" s="1" nd="1"/>
        <i x="756" s="1" nd="1"/>
        <i x="149" s="1" nd="1"/>
        <i x="225" s="1" nd="1"/>
        <i x="720" s="1" nd="1"/>
        <i x="556" s="1" nd="1"/>
        <i x="117" s="1" nd="1"/>
        <i x="377" s="1" nd="1"/>
        <i x="718" s="1" nd="1"/>
        <i x="128" s="1" nd="1"/>
        <i x="34" s="1" nd="1"/>
        <i x="303" s="1" nd="1"/>
        <i x="61" s="1" nd="1"/>
        <i x="453" s="1" nd="1"/>
        <i x="774" s="1" nd="1"/>
        <i x="486" s="1" nd="1"/>
        <i x="740" s="1" nd="1"/>
        <i x="455" s="1" nd="1"/>
        <i x="522" s="1" nd="1"/>
        <i x="163" s="1" nd="1"/>
        <i x="405" s="1" nd="1"/>
        <i x="741" s="1" nd="1"/>
        <i x="195" s="1" nd="1"/>
        <i x="746" s="1" nd="1"/>
        <i x="385" s="1" nd="1"/>
        <i x="138" s="1" nd="1"/>
        <i x="658" s="1" nd="1"/>
        <i x="431" s="1" nd="1"/>
        <i x="664" s="1" nd="1"/>
        <i x="494" s="1" nd="1"/>
        <i x="685" s="1" nd="1"/>
        <i x="328" s="1" nd="1"/>
        <i x="768" s="1" nd="1"/>
        <i x="804" s="1" nd="1"/>
        <i x="92" s="1" nd="1"/>
        <i x="573" s="1" nd="1"/>
        <i x="158" s="1" nd="1"/>
        <i x="561" s="1" nd="1"/>
        <i x="46" s="1" nd="1"/>
        <i x="723" s="1" nd="1"/>
        <i x="748" s="1" nd="1"/>
        <i x="743" s="1" nd="1"/>
        <i x="847" s="1" nd="1"/>
        <i x="125" s="1" nd="1"/>
        <i x="466" s="1" nd="1"/>
        <i x="700" s="1" nd="1"/>
        <i x="429" s="1" nd="1"/>
        <i x="364" s="1" nd="1"/>
        <i x="101" s="1" nd="1"/>
        <i x="482" s="1" nd="1"/>
        <i x="608" s="1" nd="1"/>
        <i x="715" s="1" nd="1"/>
        <i x="55" s="1" nd="1"/>
        <i x="299" s="1" nd="1"/>
        <i x="682" s="1" nd="1"/>
        <i x="136" s="1" nd="1"/>
        <i x="331" s="1" nd="1"/>
        <i x="537" s="1" nd="1"/>
        <i x="238" s="1" nd="1"/>
        <i x="558" s="1" nd="1"/>
        <i x="548" s="1" nd="1"/>
        <i x="850" s="1" nd="1"/>
        <i x="3" s="1" nd="1"/>
        <i x="273" s="1" nd="1"/>
        <i x="76" s="1" nd="1"/>
        <i x="131" s="1" nd="1"/>
        <i x="655" s="1" nd="1"/>
        <i x="721" s="1" nd="1"/>
        <i x="642" s="1" nd="1"/>
        <i x="232" s="1" nd="1"/>
        <i x="374" s="1" nd="1"/>
        <i x="735" s="1" nd="1"/>
        <i x="133" s="1" nd="1"/>
        <i x="87" s="1" nd="1"/>
        <i x="210" s="1" nd="1"/>
        <i x="681" s="1" nd="1"/>
        <i x="276" s="1" nd="1"/>
        <i x="473" s="1" nd="1"/>
        <i x="799" s="1" nd="1"/>
        <i x="218" s="1" nd="1"/>
        <i x="827" s="1" nd="1"/>
        <i x="70" s="1" nd="1"/>
        <i x="119" s="1" nd="1"/>
        <i x="646" s="1" nd="1"/>
        <i x="412" s="1" nd="1"/>
        <i x="854" s="1" nd="1"/>
        <i x="433" s="1" nd="1"/>
        <i x="570" s="1" nd="1"/>
        <i x="489" s="1" nd="1"/>
        <i x="183" s="1" nd="1"/>
        <i x="375" s="1" nd="1"/>
        <i x="243" s="1" nd="1"/>
        <i x="338" s="1" nd="1"/>
        <i x="529" s="1" nd="1"/>
        <i x="424" s="1" nd="1"/>
        <i x="788" s="1" nd="1"/>
        <i x="302" s="1" nd="1"/>
        <i x="310" s="1" nd="1"/>
        <i x="368" s="1" nd="1"/>
        <i x="492" s="1" nd="1"/>
        <i x="662" s="1" nd="1"/>
        <i x="189" s="1" nd="1"/>
        <i x="659" s="1" nd="1"/>
        <i x="222" s="1" nd="1"/>
        <i x="450" s="1" nd="1"/>
        <i x="148" s="1" nd="1"/>
        <i x="363" s="1" nd="1"/>
        <i x="264" s="1" nd="1"/>
        <i x="292" s="1" nd="1"/>
        <i x="542" s="1" nd="1"/>
        <i x="810" s="1" nd="1"/>
        <i x="604" s="1" nd="1"/>
        <i x="32" s="1" nd="1"/>
        <i x="269" s="1" nd="1"/>
        <i x="751" s="1" nd="1"/>
        <i x="372" s="1" nd="1"/>
        <i x="247" s="1" nd="1"/>
        <i x="399" s="1" nd="1"/>
        <i x="483" s="1" nd="1"/>
        <i x="339" s="1" nd="1"/>
        <i x="613" s="1" nd="1"/>
        <i x="672" s="1" nd="1"/>
        <i x="838" s="1" nd="1"/>
        <i x="51" s="1" nd="1"/>
        <i x="606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7" s="1" nd="1"/>
        <i x="228" s="1" nd="1"/>
        <i x="392" s="1" nd="1"/>
        <i x="657" s="1" nd="1"/>
        <i x="311" s="1" nd="1"/>
        <i x="75" s="1" nd="1"/>
        <i x="669" s="1" nd="1"/>
        <i x="95" s="1" nd="1"/>
        <i x="441" s="1" nd="1"/>
        <i x="352" s="1" nd="1"/>
        <i x="784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0" s="1" nd="1"/>
        <i x="536" s="1" nd="1"/>
        <i x="645" s="1" nd="1"/>
        <i x="610" s="1" nd="1"/>
        <i x="834" s="1" nd="1"/>
        <i x="787" s="1" nd="1"/>
        <i x="29" s="1" nd="1"/>
        <i x="782" s="1" nd="1"/>
        <i x="254" s="1" nd="1"/>
        <i x="476" s="1" nd="1"/>
        <i x="812" s="1" nd="1"/>
        <i x="465" s="1" nd="1"/>
        <i x="745" s="1" nd="1"/>
        <i x="649" s="1" nd="1"/>
        <i x="775" s="1" nd="1"/>
        <i x="72" s="1" nd="1"/>
        <i x="713" s="1" nd="1"/>
        <i x="574" s="1" nd="1"/>
        <i x="185" s="1" nd="1"/>
        <i x="717" s="1" nd="1"/>
        <i x="112" s="1" nd="1"/>
        <i x="255" s="1" nd="1"/>
        <i x="513" s="1" nd="1"/>
        <i x="96" s="1" nd="1"/>
        <i x="524" s="1" nd="1"/>
        <i x="789" s="1" nd="1"/>
        <i x="20" s="1" nd="1"/>
        <i x="539" s="1" nd="1"/>
        <i x="637" s="1" nd="1"/>
        <i x="576" s="1" nd="1"/>
        <i x="198" s="1" nd="1"/>
        <i x="575" s="1" nd="1"/>
        <i x="366" s="1" nd="1"/>
        <i x="823" s="1" nd="1"/>
        <i x="337" s="1" nd="1"/>
        <i x="525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7" s="1" nd="1"/>
        <i x="566" s="1" nd="1"/>
        <i x="516" s="1" nd="1"/>
        <i x="599" s="1" nd="1"/>
        <i x="318" s="1" nd="1"/>
        <i x="781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30" s="1" nd="1"/>
        <i x="567" s="1" nd="1"/>
        <i x="687" s="1" nd="1"/>
        <i x="281" s="1" nd="1"/>
        <i x="526" s="1" nd="1"/>
        <i x="527" s="1" nd="1"/>
        <i x="38" s="1" nd="1"/>
        <i x="593" s="1" nd="1"/>
        <i x="801" s="1" nd="1"/>
        <i x="584" s="1" nd="1"/>
        <i x="749" s="1" nd="1"/>
        <i x="722" s="1" nd="1"/>
        <i x="534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3" s="1" nd="1"/>
        <i x="791" s="1" nd="1"/>
        <i x="201" s="1" nd="1"/>
        <i x="152" s="1" nd="1"/>
        <i x="237" s="1" nd="1"/>
        <i x="504" s="1" nd="1"/>
        <i x="786" s="1" nd="1"/>
        <i x="260" s="1" nd="1"/>
        <i x="752" s="1" nd="1"/>
        <i x="129" s="1" nd="1"/>
        <i x="212" s="1" nd="1"/>
        <i x="833" s="1" nd="1"/>
        <i x="586" s="1" nd="1"/>
        <i x="796" s="1" nd="1"/>
        <i x="726" s="1" nd="1"/>
        <i x="413" s="1" nd="1"/>
        <i x="26" s="1" nd="1"/>
        <i x="343" s="1" nd="1"/>
        <i x="491" s="1" nd="1"/>
        <i x="512" s="1" nd="1"/>
        <i x="769" s="1" nd="1"/>
        <i x="719" s="1" nd="1"/>
        <i x="760" s="1" nd="1"/>
        <i x="521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4" s="1" nd="1"/>
        <i x="156" s="1" nd="1"/>
        <i x="234" s="1" nd="1"/>
        <i x="239" s="1" nd="1"/>
        <i x="467" s="1" nd="1"/>
        <i x="706" s="1" nd="1"/>
        <i x="620" s="1" nd="1"/>
        <i x="731" s="1" nd="1"/>
        <i x="472" s="1" nd="1"/>
        <i x="552" s="1" nd="1"/>
        <i x="265" s="1" nd="1"/>
        <i x="251" s="1" nd="1"/>
        <i x="633" s="1" nd="1"/>
        <i x="699" s="1" nd="1"/>
        <i x="358" s="1" nd="1"/>
        <i x="14" s="1" nd="1"/>
        <i x="226" s="1" nd="1"/>
        <i x="783" s="1" nd="1"/>
        <i x="724" s="1" nd="1"/>
        <i x="841" s="1" nd="1"/>
        <i x="445" s="1" nd="1"/>
        <i x="194" s="1" nd="1"/>
        <i x="307" s="1" nd="1"/>
        <i x="341" s="1" nd="1"/>
        <i x="97" s="1" nd="1"/>
        <i x="694" s="1" nd="1"/>
        <i x="306" s="1" nd="1"/>
        <i x="356" s="1" nd="1"/>
        <i x="403" s="1" nd="1"/>
        <i x="618" s="1" nd="1"/>
        <i x="614" s="1" nd="1"/>
        <i x="777" s="1" nd="1"/>
        <i x="395" s="1" nd="1"/>
        <i x="401" s="1" nd="1"/>
        <i x="704" s="1" nd="1"/>
        <i x="404" s="1" nd="1"/>
        <i x="830" s="1" nd="1"/>
        <i x="496" s="1" nd="1"/>
        <i x="396" s="1" nd="1"/>
        <i x="670" s="1" nd="1"/>
        <i x="186" s="1" nd="1"/>
        <i x="410" s="1" nd="1"/>
        <i x="475" s="1" nd="1"/>
        <i x="837" s="1" nd="1"/>
        <i x="126" s="1" nd="1"/>
        <i x="153" s="1" nd="1"/>
        <i x="594" s="1" nd="1"/>
        <i x="778" s="1" nd="1"/>
        <i x="612" s="1" nd="1"/>
        <i x="560" s="1" nd="1"/>
        <i x="309" s="1" nd="1"/>
        <i x="654" s="1" nd="1"/>
        <i x="725" s="1" nd="1"/>
        <i x="406" s="1" nd="1"/>
        <i x="744" s="1" nd="1"/>
        <i x="80" s="1" nd="1"/>
        <i x="52" s="1" nd="1"/>
        <i x="851" s="1" nd="1"/>
        <i x="30" s="1" nd="1"/>
        <i x="571" s="1" nd="1"/>
        <i x="514" s="1" nd="1"/>
        <i x="414" s="1" nd="1"/>
        <i x="702" s="1" nd="1"/>
        <i x="205" s="1" nd="1"/>
        <i x="644" s="1" nd="1"/>
        <i x="779" s="1" nd="1"/>
        <i x="469" s="1" nd="1"/>
        <i x="41" s="1" nd="1"/>
        <i x="693" s="1" nd="1"/>
        <i x="663" s="1" nd="1"/>
        <i x="808" s="1" nd="1"/>
        <i x="816" s="1" nd="1"/>
        <i x="625" s="1" nd="1"/>
        <i x="460" s="1" nd="1"/>
        <i x="691" s="1" nd="1"/>
        <i x="135" s="1" nd="1"/>
        <i x="411" s="1" nd="1"/>
        <i x="692" s="1" nd="1"/>
        <i x="443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6" s="1" nd="1"/>
        <i x="577" s="1" nd="1"/>
        <i x="361" s="1" nd="1"/>
        <i x="452" s="1" nd="1"/>
        <i x="515" s="1" nd="1"/>
        <i x="123" s="1" nd="1"/>
        <i x="647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79" s="1" nd="1"/>
        <i x="82" s="1" nd="1"/>
        <i x="635" s="1" nd="1"/>
        <i x="67" s="1" nd="1"/>
        <i x="651" s="1" nd="1"/>
        <i x="490" s="1" nd="1"/>
        <i x="753" s="1" nd="1"/>
        <i x="164" s="1" nd="1"/>
        <i x="192" s="1" nd="1"/>
        <i x="678" s="1" nd="1"/>
        <i x="300" s="1" nd="1"/>
        <i x="589" s="1" nd="1"/>
        <i x="180" s="1" nd="1"/>
        <i x="624" s="1" nd="1"/>
        <i x="64" s="1" nd="1"/>
        <i x="425" s="1" nd="1"/>
        <i x="27" s="1" nd="1"/>
        <i x="765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3" s="1" nd="1"/>
        <i x="63" s="1" nd="1"/>
        <i x="569" s="1" nd="1"/>
        <i x="432" s="1" nd="1"/>
        <i x="427" s="1" nd="1"/>
        <i x="177" s="1" nd="1"/>
        <i x="367" s="1" nd="1"/>
        <i x="758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9" s="1" nd="1"/>
        <i x="619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3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5" totalsRowShown="0" headerRowDxfId="92" dataDxfId="90" headerRowBorderDxfId="91" tableBorderDxfId="89" totalsRowBorderDxfId="88">
  <autoFilter ref="A1:D37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301198</v>
      </c>
      <c r="B2" s="12" t="s">
        <v>590</v>
      </c>
      <c r="C2" s="14">
        <v>46281</v>
      </c>
      <c r="D2" s="14">
        <v>46281</v>
      </c>
      <c r="E2" s="12"/>
      <c r="F2" s="15" t="s">
        <v>591</v>
      </c>
      <c r="G2" s="15" t="s">
        <v>592</v>
      </c>
      <c r="H2" s="15" t="s">
        <v>593</v>
      </c>
      <c r="I2" s="16">
        <v>252.04</v>
      </c>
      <c r="J2" s="15" t="s">
        <v>594</v>
      </c>
      <c r="K2" s="15" t="s">
        <v>595</v>
      </c>
      <c r="L2" s="15" t="s">
        <v>596</v>
      </c>
      <c r="M2" s="15">
        <v>555.67999999999995</v>
      </c>
      <c r="N2" s="15">
        <v>4</v>
      </c>
      <c r="O2" s="16">
        <v>7.8</v>
      </c>
      <c r="P2" s="15" t="s">
        <v>597</v>
      </c>
      <c r="Q2" s="15">
        <v>1.74</v>
      </c>
      <c r="R2" s="15" t="s">
        <v>598</v>
      </c>
      <c r="S2" s="15">
        <v>0</v>
      </c>
      <c r="T2" s="15" t="s">
        <v>599</v>
      </c>
      <c r="U2" s="15">
        <v>0</v>
      </c>
      <c r="V2" s="15">
        <v>66.680000000000007</v>
      </c>
      <c r="W2" s="15">
        <v>0</v>
      </c>
      <c r="X2" s="15">
        <v>0</v>
      </c>
      <c r="Y2" s="15">
        <v>0.13</v>
      </c>
      <c r="Z2" s="15">
        <v>0</v>
      </c>
      <c r="AA2" s="15">
        <v>103.17</v>
      </c>
      <c r="AB2" s="15">
        <v>452.51</v>
      </c>
      <c r="AC2" s="15">
        <v>144.47999999999999</v>
      </c>
      <c r="AD2" s="15">
        <v>308.02999999999997</v>
      </c>
      <c r="AE2" s="15">
        <v>4.8899999999999997</v>
      </c>
      <c r="AF2" s="15">
        <v>303.14</v>
      </c>
      <c r="AG2" s="17">
        <v>0.54549999999999998</v>
      </c>
      <c r="AH2" s="15"/>
    </row>
    <row r="3" spans="1:34" s="1" customFormat="1" ht="12" customHeight="1" x14ac:dyDescent="0.3">
      <c r="A3" s="13">
        <v>301296</v>
      </c>
      <c r="B3" s="12" t="s">
        <v>590</v>
      </c>
      <c r="C3" s="14">
        <v>46280</v>
      </c>
      <c r="D3" s="14">
        <v>46281</v>
      </c>
      <c r="E3" s="12"/>
      <c r="F3" s="15" t="s">
        <v>600</v>
      </c>
      <c r="G3" s="15" t="s">
        <v>601</v>
      </c>
      <c r="H3" s="15" t="s">
        <v>602</v>
      </c>
      <c r="I3" s="16">
        <v>1623584.11</v>
      </c>
      <c r="J3" s="15" t="s">
        <v>603</v>
      </c>
      <c r="K3" s="15" t="s">
        <v>595</v>
      </c>
      <c r="L3" s="15" t="s">
        <v>604</v>
      </c>
      <c r="M3" s="16">
        <v>13466.22</v>
      </c>
      <c r="N3" s="15">
        <v>6</v>
      </c>
      <c r="O3" s="16">
        <v>1771.9</v>
      </c>
      <c r="P3" s="15" t="s">
        <v>590</v>
      </c>
      <c r="Q3" s="15">
        <v>0</v>
      </c>
      <c r="R3" s="15" t="s">
        <v>598</v>
      </c>
      <c r="S3" s="15">
        <v>0</v>
      </c>
      <c r="T3" s="15" t="s">
        <v>599</v>
      </c>
      <c r="U3" s="15">
        <v>0</v>
      </c>
      <c r="V3" s="15">
        <v>942.64</v>
      </c>
      <c r="W3" s="15">
        <v>0</v>
      </c>
      <c r="X3" s="15">
        <v>0</v>
      </c>
      <c r="Y3" s="15">
        <v>811.79</v>
      </c>
      <c r="Z3" s="15">
        <v>0</v>
      </c>
      <c r="AA3" s="16">
        <v>9619.81</v>
      </c>
      <c r="AB3" s="16">
        <v>3846.41</v>
      </c>
      <c r="AC3" s="15">
        <v>3501.22</v>
      </c>
      <c r="AD3" s="15">
        <v>345.19</v>
      </c>
      <c r="AE3" s="15">
        <v>0</v>
      </c>
      <c r="AF3" s="15">
        <v>345.19</v>
      </c>
      <c r="AG3" s="17">
        <v>2.5600000000000001E-2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14021.9</v>
      </c>
      <c r="F3" s="93"/>
      <c r="G3" s="94"/>
      <c r="H3" s="95">
        <f>'Resumo Detalhado'!C2</f>
        <v>1779.7</v>
      </c>
      <c r="I3" s="96"/>
      <c r="J3" s="97">
        <f>E3/H3</f>
        <v>7.8787997977187159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0.50848571428571432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7901.74</v>
      </c>
      <c r="F7" s="109"/>
      <c r="G7" s="109"/>
      <c r="H7" s="109"/>
      <c r="I7" s="109"/>
      <c r="J7" s="109">
        <f>E7/H3</f>
        <v>4.4399280777659156</v>
      </c>
      <c r="K7" s="109"/>
      <c r="L7" s="109"/>
      <c r="M7" s="110">
        <f>E7/E3</f>
        <v>0.56352848044844139</v>
      </c>
      <c r="N7" s="110"/>
      <c r="O7" s="110"/>
      <c r="P7" s="109">
        <f>E11+K11+Q11+E15+K15+Q15+E19+H19+K19</f>
        <v>13088.235999999999</v>
      </c>
      <c r="Q7" s="109"/>
      <c r="R7" s="109"/>
      <c r="S7" s="109">
        <f>P7/H3</f>
        <v>7.3541810417486086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7900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7900</v>
      </c>
      <c r="L11" s="94"/>
      <c r="M11" s="38"/>
      <c r="N11" s="92">
        <f>K11/H3</f>
        <v>4.438950384896331</v>
      </c>
      <c r="O11" s="94"/>
      <c r="P11" s="38"/>
      <c r="Q11" s="92">
        <f>'Resumo Detalhado'!D2</f>
        <v>1.74</v>
      </c>
      <c r="R11" s="94"/>
      <c r="S11" s="38"/>
      <c r="T11" s="92">
        <f>Q11/H3</f>
        <v>9.7769286958476146E-4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1009.3199999999999</v>
      </c>
      <c r="F15" s="113"/>
      <c r="G15" s="113"/>
      <c r="H15" s="113"/>
      <c r="I15" s="114"/>
      <c r="J15" s="38"/>
      <c r="K15" s="116">
        <f>'Resumo Detalhado'!K2+'Resumo Detalhado'!L2</f>
        <v>2243.5039999999999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811.92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1121.752</v>
      </c>
      <c r="L19" s="108"/>
      <c r="M19" s="38"/>
      <c r="N19" s="112" t="s">
        <v>589</v>
      </c>
      <c r="O19" s="113"/>
      <c r="P19" s="113"/>
      <c r="Q19" s="113"/>
      <c r="R19" s="119"/>
      <c r="S19" s="112">
        <f>_xlfn.XLOOKUP(N19,Target!C:C,Target!D:D)</f>
        <v>7900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11072.278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0.78964177465250796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1.109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605</v>
      </c>
      <c r="F1" s="29"/>
    </row>
    <row r="2" spans="1:18" x14ac:dyDescent="0.3">
      <c r="B2" s="29">
        <f>SUM(B6:B5000)</f>
        <v>14021.9</v>
      </c>
      <c r="C2" s="29">
        <f>SUM(C6:C5000)</f>
        <v>1779.7</v>
      </c>
      <c r="D2" s="29">
        <f>SUM(D6:D5000)</f>
        <v>1.74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1009.3199999999999</v>
      </c>
      <c r="I2" s="29">
        <f t="shared" si="0"/>
        <v>811.92</v>
      </c>
      <c r="J2" s="29">
        <f t="shared" si="0"/>
        <v>0</v>
      </c>
      <c r="K2" s="29">
        <f t="shared" si="0"/>
        <v>1121.752</v>
      </c>
      <c r="L2" s="29">
        <f t="shared" si="0"/>
        <v>1121.752</v>
      </c>
      <c r="M2" s="29">
        <f t="shared" si="0"/>
        <v>4.8899999999999997</v>
      </c>
      <c r="N2" s="29">
        <f t="shared" si="0"/>
        <v>11072.278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301296</v>
      </c>
      <c r="B6" s="140">
        <v>13466.22</v>
      </c>
      <c r="C6" s="141">
        <v>1771.9</v>
      </c>
      <c r="D6" s="140">
        <v>0</v>
      </c>
      <c r="E6" s="140">
        <v>0</v>
      </c>
      <c r="F6" s="140">
        <v>0</v>
      </c>
      <c r="G6" s="142">
        <v>0</v>
      </c>
      <c r="H6" s="140">
        <v>942.64</v>
      </c>
      <c r="I6" s="140">
        <v>811.79</v>
      </c>
      <c r="J6" s="140">
        <v>0</v>
      </c>
      <c r="K6" s="140">
        <v>1077.2975999999999</v>
      </c>
      <c r="L6" s="140">
        <v>1077.2975999999999</v>
      </c>
      <c r="M6" s="140">
        <v>0</v>
      </c>
      <c r="N6" s="140">
        <v>10634.492400000001</v>
      </c>
      <c r="O6" s="142">
        <v>0.78971622326087065</v>
      </c>
      <c r="Q6"/>
    </row>
    <row r="7" spans="1:18" s="31" customFormat="1" x14ac:dyDescent="0.3">
      <c r="A7" s="9" t="s">
        <v>592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301198</v>
      </c>
      <c r="B8" s="140">
        <v>555.67999999999995</v>
      </c>
      <c r="C8" s="141">
        <v>7.8</v>
      </c>
      <c r="D8" s="140">
        <v>1.74</v>
      </c>
      <c r="E8" s="140">
        <v>0</v>
      </c>
      <c r="F8" s="140">
        <v>0</v>
      </c>
      <c r="G8" s="142">
        <v>3.1312985891160383E-3</v>
      </c>
      <c r="H8" s="140">
        <v>66.680000000000007</v>
      </c>
      <c r="I8" s="140">
        <v>0.13</v>
      </c>
      <c r="J8" s="140">
        <v>0</v>
      </c>
      <c r="K8" s="140">
        <v>44.4544</v>
      </c>
      <c r="L8" s="140">
        <v>44.4544</v>
      </c>
      <c r="M8" s="140">
        <v>4.8899999999999997</v>
      </c>
      <c r="N8" s="140">
        <v>437.78559999999993</v>
      </c>
      <c r="O8" s="142">
        <v>0.78783760437661954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605</v>
      </c>
    </row>
    <row r="2" spans="1:4" x14ac:dyDescent="0.3">
      <c r="B2" s="29">
        <f>SUM(B6:B5000)</f>
        <v>555.67999999999995</v>
      </c>
      <c r="C2" s="29">
        <f>SUM(C6:C5000)</f>
        <v>437.78559999999993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601</v>
      </c>
      <c r="B5" s="10">
        <v>13466.22</v>
      </c>
      <c r="C5" s="10">
        <v>10634.492400000001</v>
      </c>
    </row>
    <row r="6" spans="1:4" x14ac:dyDescent="0.3">
      <c r="A6" s="9" t="s">
        <v>592</v>
      </c>
      <c r="B6" s="140">
        <v>555.67999999999995</v>
      </c>
      <c r="C6" s="140">
        <v>437.78559999999993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2026-09-22T12:57:53Z</dcterms:modified>
  <cp:category/>
  <cp:contentStatus/>
</cp:coreProperties>
</file>