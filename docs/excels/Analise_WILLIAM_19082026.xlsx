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7459EB2-D26F-4BF0-8B53-9E9F6EEBF10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<sst xmlns="http://schemas.openxmlformats.org/spreadsheetml/2006/main" count="868" uniqueCount="596">
  <si>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</si>
  <si>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</si>
  <si>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</si>
  <si>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</si>
  <si>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</si>
  <si>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</si>
  <si>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</si>
  <si>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</si>
  <si>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</si>
  <si>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</si>
  <si>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</si>
  <si>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</si>
  <si>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</si>
  <si>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</si>
  <si>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</si>
  <si>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</si>
  <si>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</si>
  <si>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</si>
  <si>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</si>
  <si>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</si>
  <si>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</si>
  <si>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</si>
  <si>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</si>
  <si>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</si>
  <si>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</si>
  <si>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</si>
  <si>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</si>
  <si>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</si>
  <si>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</si>
  <si>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</si>
  <si>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</si>
  <si>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</si>
  <si>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</si>
  <si>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</si>
  <si>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</si>
  <si>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</si>
  <si>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</si>
  <si>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</si>
  <si>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</si>
  <si>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</si>
  <si>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</si>
  <si>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</si>
  <si>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</si>
  <si>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</si>
  <si>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</si>
  <si>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</si>
  <si>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</si>
  <si>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</si>
  <si>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</si>
  <si>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</si>
  <si>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</si>
  <si>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</si>
  <si>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</si>
  <si>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</si>
  <si>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</si>
  <si>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</si>
  <si>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</si>
  <si>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</si>
  <si>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</si>
  <si>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</si>
  <si>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</si>
  <si>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</si>
  <si>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</si>
  <si>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</si>
  <si>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</si>
  <si>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</si>
  <si>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</si>
  <si>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</si>
  <si>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</si>
  <si>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</si>
  <si>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</si>
  <si>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</si>
  <si>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</si>
  <si>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</si>
  <si>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</si>
  <si>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</si>
  <si>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</si>
  <si>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</si>
  <si>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</si>
  <si>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</si>
  <si>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</si>
  <si>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</si>
  <si>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</si>
  <si>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</si>
  <si>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</si>
  <si>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</si>
  <si>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</si>
  <si>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</si>
  <si>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</si>
  <si>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</si>
  <si>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</si>
  <si>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</si>
  <si>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</si>
  <si>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</si>
  <si>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</si>
  <si>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</si>
  <si>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</si>
  <si>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</si>
  <si>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</si>
  <si>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</si>
  <si>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</si>
  <si>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</si>
  <si>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</si>
  <si>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</si>
  <si>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</si>
  <si>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</si>
  <si>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</si>
  <si>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</si>
  <si>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</si>
  <si>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</si>
  <si>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</si>
  <si>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</si>
  <si>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</si>
  <si>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</si>
  <si>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</si>
  <si>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</si>
  <si>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</si>
  <si>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</si>
  <si>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</si>
  <si>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</si>
  <si>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</si>
  <si>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</si>
  <si>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</si>
  <si>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</si>
  <si>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</si>
  <si>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</si>
  <si>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</si>
  <si>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</si>
  <si>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</si>
  <si>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</si>
  <si>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</si>
  <si>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</si>
  <si>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</si>
  <si>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</si>
  <si>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</si>
  <si>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</si>
  <si>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</si>
  <si>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</si>
  <si>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</si>
  <si>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</si>
  <si>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</si>
  <si>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</si>
  <si>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</si>
  <si>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</si>
  <si>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</si>
  <si>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</si>
  <si>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</si>
  <si>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</si>
  <si>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</si>
  <si>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</si>
  <si>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</si>
  <si>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</si>
  <si>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</si>
  <si>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</si>
  <si>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</si>
  <si>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</si>
  <si>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</si>
  <si>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</si>
  <si>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</si>
  <si>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</si>
  <si>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</si>
  <si>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</si>
  <si>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</si>
  <si>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</si>
  <si>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</si>
  <si>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</si>
  <si>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</si>
  <si>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</si>
  <si>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</si>
  <si>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</si>
  <si>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</si>
  <si>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</si>
  <si>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</si>
  <si>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</si>
  <si>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</si>
  <si>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</si>
  <si>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</si>
  <si>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</si>
  <si>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</si>
  <si>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</si>
  <si>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</si>
  <si>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</si>
  <si>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</si>
  <si>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</si>
  <si>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</si>
  <si>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</si>
  <si>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</si>
  <si>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</si>
  <si>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</si>
  <si>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</si>
  <si>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</si>
  <si>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</si>
  <si>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</si>
  <si>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</si>
  <si>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</si>
  <si>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</si>
  <si>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</si>
  <si>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</si>
  <si>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</si>
  <si>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</si>
  <si>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</si>
  <si>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</si>
  <si>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</si>
  <si>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</si>
  <si>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</si>
  <si>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</si>
  <si>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</si>
  <si>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</si>
  <si>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</si>
  <si>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</si>
  <si>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</si>
  <si>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</si>
  <si>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</si>
  <si>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</si>
  <si>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</si>
  <si>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</si>
  <si>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</si>
  <si>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</si>
  <si>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</si>
  <si>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</si>
  <si>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</si>
  <si>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</si>
  <si>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</si>
  <si>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</si>
  <si>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</si>
  <si>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</si>
  <si>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</si>
  <si>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</si>
  <si>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</si>
  <si>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</si>
  <si>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</si>
  <si>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</si>
  <si>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</si>
  <si>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</si>
  <si>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</si>
  <si>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</si>
  <si>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</si>
  <si>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</si>
  <si>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</si>
  <si>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</si>
  <si>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</si>
  <si>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</si>
  <si>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</si>
  <si>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</si>
  <si>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</si>
  <si>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</si>
  <si>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</si>
  <si>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</si>
  <si>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</si>
  <si>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</si>
  <si>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</si>
  <si>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</si>
  <si>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</si>
  <si>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</si>
  <si>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</si>
  <si>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</si>
  <si>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</si>
  <si>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</si>
  <si>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</si>
  <si>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</si>
  <si>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</si>
  <si>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</si>
  <si>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</si>
  <si>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</si>
  <si>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</si>
  <si>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</si>
  <si>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</si>
  <si>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</si>
  <si>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</si>
  <si>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</si>
  <si>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</si>
  <si>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</si>
  <si>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</si>
  <si>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</si>
  <si>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</si>
  <si>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</si>
  <si>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</si>
  <si>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</si>
  <si>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</si>
  <si>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</si>
  <si>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</si>
  <si>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</si>
  <si>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</si>
  <si>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</si>
  <si>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</si>
  <si>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</si>
  <si>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</si>
  <si>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</si>
  <si>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</si>
  <si>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</si>
  <si>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</si>
  <si>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</si>
  <si>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</si>
  <si>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</si>
  <si>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</si>
  <si>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</si>
  <si>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</si>
  <si>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</si>
  <si>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</si>
  <si>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</si>
  <si>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</si>
  <si>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</si>
  <si>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</si>
  <si>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</si>
  <si>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</si>
  <si>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</si>
  <si>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</si>
  <si>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</si>
  <si>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</si>
  <si>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</si>
  <si>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</si>
  <si>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</si>
  <si>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</si>
  <si>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</si>
  <si>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</si>
  <si>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</si>
  <si>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</si>
  <si>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</si>
  <si>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</si>
  <si>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</si>
  <si>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</si>
  <si>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</si>
  <si>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</si>
  <si>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</si>
  <si>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</si>
  <si>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</si>
  <si>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</si>
  <si>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</si>
  <si>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</si>
  <si>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</si>
  <si>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</si>
  <si>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</si>
  <si>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</si>
  <si>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</si>
  <si>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</si>
  <si>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</si>
  <si>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</si>
  <si>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</si>
  <si>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</si>
  <si>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</si>
  <si>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</si>
  <si>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</si>
  <si>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</si>
  <si>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</si>
  <si>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</si>
  <si>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</si>
  <si>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</si>
  <si>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</si>
  <si>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</si>
  <si>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</si>
  <si>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</si>
  <si>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</si>
  <si>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</si>
  <si>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</si>
  <si>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</si>
  <si>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</si>
  <si>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</si>
  <si>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</si>
  <si>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</si>
  <si>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</si>
  <si>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</si>
  <si>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</si>
  <si>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</si>
  <si>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</si>
  <si>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</si>
  <si>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</si>
  <si>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</si>
  <si>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</si>
  <si>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</si>
  <si>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</si>
  <si>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</si>
  <si>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</si>
  <si>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</si>
  <si>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</si>
  <si>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</si>
  <si>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</si>
  <si>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</si>
  <si>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</si>
  <si>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</si>
  <si>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</si>
  <si>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</si>
  <si>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</si>
  <si>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</si>
  <si>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</si>
  <si>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</si>
  <si>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</si>
  <si>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</si>
  <si>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</si>
  <si>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</si>
  <si>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</si>
  <si>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</si>
  <si>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</si>
  <si>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</si>
  <si>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</si>
  <si>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</si>
  <si>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</si>
  <si>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</si>
  <si>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</si>
  <si>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</si>
  <si>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</si>
  <si>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</si>
  <si>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</si>
  <si>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</si>
  <si>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</si>
  <si>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</si>
  <si>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</si>
  <si>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</si>
  <si>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</si>
  <si>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</si>
  <si>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</si>
  <si>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</si>
  <si>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</si>
  <si>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</si>
  <si>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</si>
  <si>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</si>
  <si>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</si>
  <si>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</si>
  <si>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</si>
  <si>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</si>
  <si>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</si>
  <si>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</si>
  <si>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</si>
  <si>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</si>
  <si>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</si>
  <si>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</si>
  <si>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</si>
  <si>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</si>
  <si>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</si>
  <si>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</si>
  <si>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</si>
  <si>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</si>
  <si>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</si>
  <si>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</si>
  <si>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</si>
  <si>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</si>
  <si>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</si>
  <si>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</si>
  <si>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</si>
  <si>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</si>
  <si>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</si>
  <si>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</si>
  <si>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</si>
  <si>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</si>
  <si>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</si>
  <si>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</si>
  <si>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</si>
  <si>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</si>
  <si>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</si>
  <si>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</si>
  <si>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</si>
  <si>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</si>
  <si>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</si>
  <si>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</si>
  <si>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</si>
  <si>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</si>
  <si>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</si>
  <si>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</si>
  <si>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</si>
  <si>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</si>
  <si>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</si>
  <si>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</si>
  <si>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</si>
  <si>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</si>
  <si>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</si>
  <si>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</si>
  <si>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</si>
  <si>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</si>
  <si>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</si>
  <si>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</si>
  <si>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</si>
  <si>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</si>
  <si>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</si>
  <si>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</si>
  <si>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</si>
  <si>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</si>
  <si>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</si>
  <si>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</si>
  <si>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</si>
  <si>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</si>
  <si>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</si>
  <si>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</si>
  <si>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</si>
  <si>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</si>
  <si>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</si>
  <si>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</si>
  <si>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</si>
  <si>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</si>
  <si>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</si>
  <si>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</si>
  <si>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</si>
  <si>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</si>
  <si>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</si>
  <si>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</si>
  <si>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</si>
  <si>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</si>
  <si>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</si>
  <si>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</si>
  <si>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</si>
  <si>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</si>
  <si>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</si>
  <si>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</si>
  <si>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</si>
  <si>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</si>
  <si>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</si>
  <si>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</si>
  <si>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</si>
  <si>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</si>
  <si>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</si>
  <si>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</si>
  <si>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</si>
  <si>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</si>
  <si>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</si>
  <si>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</si>
  <si>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</si>
  <si>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</si>
  <si>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</si>
  <si>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</si>
  <si>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</si>
  <si>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</si>
  <si>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</si>
  <si>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</si>
  <si>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</si>
  <si>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</si>
  <si>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</si>
  <si>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</si>
  <si>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</si>
  <si>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</si>
  <si>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</si>
  <si>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</si>
  <si>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</si>
  <si>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</si>
  <si>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</si>
  <si>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</si>
  <si>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</si>
  <si>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</si>
  <si>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</si>
  <si>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</si>
  <si>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</si>
  <si>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</si>
  <si>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</si>
  <si>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</si>
  <si>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</si>
  <si>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</si>
  <si>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</si>
  <si>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</si>
  <si>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</si>
  <si>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</si>
  <si>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</si>
  <si>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</si>
  <si>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</si>
  <si>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</si>
  <si>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</si>
  <si>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</si>
  <si>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</si>
  <si>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</si>
  <si>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</si>
  <si>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</si>
  <si>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</si>
  <si>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</si>
  <si>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</si>
  <si>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</si>
  <si>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</si>
  <si>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</si>
  <si>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</si>
  <si>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</si>
  <si>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</si>
  <si>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</si>
  <si>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</si>
  <si>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</si>
  <si>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</si>
  <si>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</si>
  <si>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</si>
  <si>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</si>
  <si>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</si>
  <si>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</si>
  <si>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</si>
  <si>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</si>
  <si>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</si>
  <si>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MATRIZ</t>
  </si>
  <si>
    <t>2462-1</t>
  </si>
  <si>
    <t>STRATUS COMERCI</t>
  </si>
  <si>
    <t>MICHELL MARQUES</t>
  </si>
  <si>
    <t>ECONOMICO_250</t>
  </si>
  <si>
    <t>CTE NORMAL</t>
  </si>
  <si>
    <t>SAO PAULO - SP</t>
  </si>
  <si>
    <t>LEONARDO LAERCIO VIEIRA</t>
  </si>
  <si>
    <t>JOSE EMILTON DA COSTA - O</t>
  </si>
  <si>
    <t>VENUE TRANSPORTES LTDA</t>
  </si>
  <si>
    <t>2472-1</t>
  </si>
  <si>
    <t>FOTON MOTOR DO</t>
  </si>
  <si>
    <t>TIAGO SANTANA</t>
  </si>
  <si>
    <t>PERSONALIZADO_V</t>
  </si>
  <si>
    <t>ITAJAI - SC</t>
  </si>
  <si>
    <t>N/D</t>
  </si>
  <si>
    <t>Caxias do Sul-Rs X Itajai-Scvan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</si>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</sst>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0" fillId="0" borderId="40" xfId="0" applyBorder="1" applyAlignment="1">
      <alignment horizontal="left"/>
    </xf>
    <xf numFmtId="44" fontId="0" fillId="0" borderId="0" xfId="0" applyNumberFormat="1" applyAlignment="1">
      <alignment horizont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[Analise_WILLIAM_19082026.xlsx]Resumo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FOTON MOTOR DO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4794.25</c:v>
                </c:pt>
                <c:pt idx="1">
                  <c:v>139.84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FOTON MOTOR DO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3298.7500000000005</c:v>
                </c:pt>
                <c:pt idx="1">
                  <c:v>60.615600000000001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[Analise_WILLIAM_19082026.xlsx]Resumo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FOTON MOTOR DO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4794.25</c:v>
                </c:pt>
                <c:pt idx="1">
                  <c:v>139.84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FOTON MOTOR DO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3298.7500000000005</c:v>
                </c:pt>
                <c:pt idx="1">
                  <c:v>60.615600000000001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8.40416284721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555"/>
        <n v="256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9T00:00:00" maxDate="2026-08-20T00:00:00"/>
    </cacheField>
    <cacheField name="DATA" numFmtId="14">
      <sharedItems containsNonDate="0" containsDate="1" containsString="0" containsBlank="1" minDate="2026-08-19T00:00:00" maxDate="2026-08-2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TRATUS COMERCI"/>
        <s v="FOTON MOTOR D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4.56" maxValue="66345.759999999995"/>
    </cacheField>
    <cacheField name="SERVICO" numFmtId="0">
      <sharedItems containsBlank="1" count="28">
        <s v="ECONOMICO_250"/>
        <s v="PERSONALIZADO_V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39.84" maxValue="4794.25"/>
    </cacheField>
    <cacheField name="VOLUMES" numFmtId="0">
      <sharedItems containsString="0" containsBlank="1" containsNumber="1" containsInteger="1" minValue="2" maxValue="3"/>
    </cacheField>
    <cacheField name="PESO" numFmtId="0">
      <sharedItems containsString="0" containsBlank="1" containsNumber="1" minValue="7.6" maxValue="772.3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6.78" maxValue="575.30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7.0000000000000007E-2" maxValue="26.5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36.21" maxValue="3322.49"/>
    </cacheField>
    <cacheField name="RECEITA" numFmtId="0">
      <sharedItems containsString="0" containsBlank="1" containsNumber="1" minValue="3.63" maxValue="1471.76"/>
    </cacheField>
    <cacheField name="IMPOSTO" numFmtId="0">
      <sharedItems containsString="0" containsBlank="1" containsNumber="1" minValue="22.37" maxValue="767.08"/>
    </cacheField>
    <cacheField name="RESULTADO" numFmtId="0">
      <sharedItems containsString="0" containsBlank="1" containsNumber="1" minValue="-18.739999999999998" maxValue="704.68000000000006"/>
    </cacheField>
    <cacheField name="COMIS" numFmtId="0">
      <sharedItems containsString="0" containsBlank="1" containsNumber="1" minValue="0" maxValue="126.57"/>
    </cacheField>
    <cacheField name="LUCRO LIQ" numFmtId="0">
      <sharedItems containsString="0" containsBlank="1" containsNumber="1" minValue="-18.739999999999998" maxValue="578.11"/>
    </cacheField>
    <cacheField name="MARGEM" numFmtId="10">
      <sharedItems containsString="0" containsBlank="1" containsNumber="1" minValue="-0.13400000000000001" maxValue="0.120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9T00:00:00"/>
    <d v="2026-08-19T00:00:00"/>
    <m/>
    <s v="2462-1"/>
    <x v="0"/>
    <s v="MICHELL MARQUES"/>
    <n v="174.56"/>
    <x v="0"/>
    <s v="CTE NORMAL"/>
    <s v="SAO PAULO - SP"/>
    <n v="139.84"/>
    <n v="2"/>
    <n v="7.6"/>
    <s v="LEONARDO LAERCIO VIEIRA"/>
    <n v="0"/>
    <s v="JOSE EMILTON DA COSTA - O"/>
    <n v="40"/>
    <s v="VENUE TRANSPORTES LTDA"/>
    <n v="0"/>
    <n v="16.78"/>
    <n v="0"/>
    <n v="0"/>
    <n v="7.0000000000000007E-2"/>
    <n v="0"/>
    <n v="136.21"/>
    <n v="3.63"/>
    <n v="22.37"/>
    <n v="-18.739999999999998"/>
    <n v="0"/>
    <n v="-18.739999999999998"/>
    <n v="-0.13400000000000001"/>
    <m/>
  </r>
  <r>
    <x v="1"/>
    <s v="MATRIZ"/>
    <d v="2026-08-19T00:00:00"/>
    <d v="2026-08-19T00:00:00"/>
    <m/>
    <s v="2472-1"/>
    <x v="1"/>
    <s v="TIAGO SANTANA"/>
    <n v="66345.759999999995"/>
    <x v="1"/>
    <s v="CTE NORMAL"/>
    <s v="ITAJAI - SC"/>
    <n v="4794.25"/>
    <n v="3"/>
    <n v="772.35"/>
    <s v="MATRIZ"/>
    <n v="0"/>
    <s v="N/D"/>
    <n v="0"/>
    <s v="VENUE TRANSPORTES LTDA"/>
    <n v="0"/>
    <n v="575.30999999999995"/>
    <n v="0"/>
    <n v="0"/>
    <n v="26.54"/>
    <n v="0"/>
    <n v="3322.49"/>
    <n v="1471.76"/>
    <n v="767.08"/>
    <n v="704.68000000000006"/>
    <n v="126.57"/>
    <n v="578.11"/>
    <n v="0.1206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9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9"/>
        <item m="1" x="208"/>
        <item sd="0" m="1" x="522"/>
        <item m="1" x="463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6"/>
        <item m="1" x="249"/>
        <item sd="0" m="1" x="764"/>
        <item m="1" x="426"/>
        <item m="1" x="437"/>
        <item m="1" x="168"/>
        <item m="1" x="543"/>
        <item m="1" x="806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6"/>
        <item sd="0" m="1" x="696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8"/>
        <item m="1" x="735"/>
        <item m="1" x="813"/>
        <item m="1" x="562"/>
        <item m="1" x="559"/>
        <item m="1" x="430"/>
        <item m="1" x="715"/>
        <item m="1" x="505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x="1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9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8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2"/>
        <item m="1" x="247"/>
        <item m="1" x="399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3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0"/>
        <item m="1" x="495"/>
        <item m="1" x="396"/>
        <item m="1" x="671"/>
        <item m="1" x="186"/>
        <item sd="0" m="1" x="410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1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1"/>
        <item m="1" x="693"/>
        <item x="0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93"/>
    </i>
    <i r="1">
      <x v="7999"/>
    </i>
    <i>
      <x v="734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9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9"/>
        <item m="1" x="208"/>
        <item sd="0" m="1" x="522"/>
        <item m="1" x="463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6"/>
        <item m="1" x="249"/>
        <item sd="0" m="1" x="764"/>
        <item m="1" x="426"/>
        <item m="1" x="437"/>
        <item m="1" x="168"/>
        <item m="1" x="543"/>
        <item m="1" x="806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6"/>
        <item sd="0" m="1" x="696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8"/>
        <item m="1" x="735"/>
        <item m="1" x="813"/>
        <item m="1" x="562"/>
        <item m="1" x="559"/>
        <item m="1" x="430"/>
        <item m="1" x="715"/>
        <item m="1" x="505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x="1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9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8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2"/>
        <item m="1" x="247"/>
        <item m="1" x="399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3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0"/>
        <item m="1" x="495"/>
        <item m="1" x="396"/>
        <item m="1" x="671"/>
        <item m="1" x="186"/>
        <item sd="0" m="1" x="410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1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1"/>
        <item m="1" x="693"/>
        <item x="0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3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2" s="1" nd="1"/>
        <i x="21" s="1" nd="1"/>
        <i x="758" s="1" nd="1"/>
        <i x="113" s="1" nd="1"/>
        <i x="545" s="1" nd="1"/>
        <i x="828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1" s="1" nd="1"/>
        <i x="506" s="1" nd="1"/>
        <i x="554" s="1" nd="1"/>
        <i x="477" s="1" nd="1"/>
        <i x="245" s="1" nd="1"/>
        <i x="848" s="1" nd="1"/>
        <i x="832" s="1" nd="1"/>
        <i x="743" s="1" nd="1"/>
        <i x="241" s="1" nd="1"/>
        <i x="240" s="1" nd="1"/>
        <i x="462" s="1" nd="1"/>
        <i x="287" s="1" nd="1"/>
        <i x="550" s="1" nd="1"/>
        <i x="845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9" s="1" nd="1"/>
        <i x="516" s="1" nd="1"/>
        <i x="319" s="1" nd="1"/>
        <i x="592" s="1" nd="1"/>
        <i x="596" s="1" nd="1"/>
        <i x="733" s="1" nd="1"/>
        <i x="786" s="1" nd="1"/>
        <i x="184" s="1" nd="1"/>
        <i x="835" s="1" nd="1"/>
        <i x="712" s="1" nd="1"/>
        <i x="379" s="1" nd="1"/>
        <i x="208" s="1" nd="1"/>
        <i x="522" s="1" nd="1"/>
        <i x="463" s="1" nd="1"/>
        <i x="139" s="1" nd="1"/>
        <i x="662" s="1" nd="1"/>
        <i x="373" s="1" nd="1"/>
        <i x="155" s="1" nd="1"/>
        <i x="252" s="1" nd="1"/>
        <i x="629" s="1" nd="1"/>
        <i x="737" s="1" nd="1"/>
        <i x="422" s="1" nd="1"/>
        <i x="81" s="1" nd="1"/>
        <i x="697" s="1" nd="1"/>
        <i x="285" s="1" nd="1"/>
        <i x="846" s="1" nd="1"/>
        <i x="249" s="1" nd="1"/>
        <i x="764" s="1" nd="1"/>
        <i x="426" s="1" nd="1"/>
        <i x="437" s="1" nd="1"/>
        <i x="168" s="1" nd="1"/>
        <i x="543" s="1" nd="1"/>
        <i x="806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8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8" s="1" nd="1"/>
        <i x="853" s="1" nd="1"/>
        <i x="829" s="1" nd="1"/>
        <i x="107" s="1" nd="1"/>
        <i x="402" s="1" nd="1"/>
        <i x="115" s="1" nd="1"/>
        <i x="653" s="1" nd="1"/>
        <i x="657" s="1" nd="1"/>
        <i x="796" s="1" nd="1"/>
        <i x="696" s="1" nd="1"/>
        <i x="455" s="1" nd="1"/>
        <i x="382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7" s="1" nd="1"/>
        <i x="840" s="1" nd="1"/>
        <i x="457" s="1" nd="1"/>
        <i x="478" s="1" nd="1"/>
        <i x="751" s="1" nd="1"/>
        <i x="639" s="1" nd="1"/>
        <i x="54" s="1" nd="1"/>
        <i x="794" s="1" nd="1"/>
        <i x="717" s="1" nd="1"/>
        <i x="418" s="1" nd="1"/>
        <i x="735" s="1" nd="1"/>
        <i x="813" s="1" nd="1"/>
        <i x="562" s="1" nd="1"/>
        <i x="559" s="1" nd="1"/>
        <i x="430" s="1" nd="1"/>
        <i x="715" s="1" nd="1"/>
        <i x="505" s="1" nd="1"/>
        <i x="174" s="1" nd="1"/>
        <i x="628" s="1" nd="1"/>
        <i x="376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9" s="1" nd="1"/>
        <i x="211" s="1" nd="1"/>
        <i x="440" s="1" nd="1"/>
        <i x="103" s="1" nd="1"/>
        <i x="197" s="1" nd="1"/>
        <i x="831" s="1" nd="1"/>
        <i x="765" s="1" nd="1"/>
        <i x="509" s="1" nd="1"/>
        <i x="821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803" s="1" nd="1"/>
        <i x="42" s="1" nd="1"/>
        <i x="487" s="1" nd="1"/>
        <i x="443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39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0" s="1" nd="1"/>
        <i x="345" s="1" nd="1"/>
        <i x="738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5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1" s="1" nd="1"/>
        <i x="665" s="1" nd="1"/>
        <i x="493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7" s="1" nd="1"/>
        <i x="125" s="1" nd="1"/>
        <i x="465" s="1" nd="1"/>
        <i x="701" s="1" nd="1"/>
        <i x="429" s="1" nd="1"/>
        <i x="364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7" s="1" nd="1"/>
        <i x="70" s="1" nd="1"/>
        <i x="119" s="1" nd="1"/>
        <i x="646" s="1" nd="1"/>
        <i x="412" s="1" nd="1"/>
        <i x="854" s="1" nd="1"/>
        <i x="433" s="1" nd="1"/>
        <i x="570" s="1" nd="1"/>
        <i x="488" s="1" nd="1"/>
        <i x="183" s="1" nd="1"/>
        <i x="375" s="1" nd="1"/>
        <i x="243" s="1" nd="1"/>
        <i x="338" s="1" nd="1"/>
        <i x="528" s="1" nd="1"/>
        <i x="424" s="1" nd="1"/>
        <i x="789" s="1" nd="1"/>
        <i x="302" s="1" nd="1"/>
        <i x="310" s="1" nd="1"/>
        <i x="368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2" s="1" nd="1"/>
        <i x="372" s="1" nd="1"/>
        <i x="247" s="1" nd="1"/>
        <i x="399" s="1" nd="1"/>
        <i x="482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19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4" s="1" nd="1"/>
        <i x="475" s="1" nd="1"/>
        <i x="812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3" s="1" nd="1"/>
        <i x="586" s="1" nd="1"/>
        <i x="797" s="1" nd="1"/>
        <i x="727" s="1" nd="1"/>
        <i x="413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1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0" s="1" nd="1"/>
        <i x="495" s="1" nd="1"/>
        <i x="396" s="1" nd="1"/>
        <i x="671" s="1" nd="1"/>
        <i x="186" s="1" nd="1"/>
        <i x="410" s="1" nd="1"/>
        <i x="474" s="1" nd="1"/>
        <i x="837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1" s="1" nd="1"/>
        <i x="30" s="1" nd="1"/>
        <i x="571" s="1" nd="1"/>
        <i x="513" s="1" nd="1"/>
        <i x="414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5" s="1" nd="1"/>
        <i x="411" s="1" nd="1"/>
        <i x="69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1" s="1" nd="1"/>
        <i x="514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3" s="1" nd="1"/>
        <i x="824" s="1" nd="1"/>
        <i x="36" s="1" nd="1"/>
        <i x="312" s="1" nd="1"/>
        <i x="825" s="1" nd="1"/>
        <i x="563" s="1" nd="1"/>
        <i x="63" s="1" nd="1"/>
        <i x="569" s="1" nd="1"/>
        <i x="432" s="1" nd="1"/>
        <i x="427" s="1" nd="1"/>
        <i x="177" s="1" nd="1"/>
        <i x="367" s="1" nd="1"/>
        <i x="759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0" s="1"/>
        <i x="1" s="1"/>
        <i x="2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4" s="1" nd="1"/>
        <i x="24" s="1" nd="1"/>
        <i x="7" s="1" nd="1"/>
        <i x="23" s="1" nd="1"/>
        <i x="22" s="1" nd="1"/>
        <i x="12" s="1" nd="1"/>
        <i x="18" s="1" nd="1"/>
        <i x="21" s="1" nd="1"/>
        <i x="3" s="1" nd="1"/>
        <i x="26" s="1" nd="1"/>
        <i x="11" s="1" nd="1"/>
        <i x="14" s="1" nd="1"/>
        <i x="10" s="1" nd="1"/>
        <i x="9" s="1" nd="1"/>
        <i x="27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6" totalsRowShown="0" headerRowDxfId="92" dataDxfId="90" headerRowBorderDxfId="91" tableBorderDxfId="89" totalsRowBorderDxfId="88">
  <autoFilter ref="A1:D366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2555</v>
      </c>
      <c r="B2" s="12" t="s">
        <v>578</v>
      </c>
      <c r="C2" s="14">
        <v>46253</v>
      </c>
      <c r="D2" s="14">
        <v>46253</v>
      </c>
      <c r="E2" s="12"/>
      <c r="F2" s="15" t="s">
        <v>579</v>
      </c>
      <c r="G2" s="15" t="s">
        <v>580</v>
      </c>
      <c r="H2" s="15" t="s">
        <v>581</v>
      </c>
      <c r="I2" s="16">
        <v>174.56</v>
      </c>
      <c r="J2" s="15" t="s">
        <v>582</v>
      </c>
      <c r="K2" s="15" t="s">
        <v>583</v>
      </c>
      <c r="L2" s="15" t="s">
        <v>584</v>
      </c>
      <c r="M2" s="15">
        <v>139.84</v>
      </c>
      <c r="N2" s="15">
        <v>2</v>
      </c>
      <c r="O2" s="16">
        <v>7.6</v>
      </c>
      <c r="P2" s="15" t="s">
        <v>585</v>
      </c>
      <c r="Q2" s="15">
        <v>0</v>
      </c>
      <c r="R2" s="15" t="s">
        <v>586</v>
      </c>
      <c r="S2" s="15">
        <v>40</v>
      </c>
      <c r="T2" s="15" t="s">
        <v>587</v>
      </c>
      <c r="U2" s="15">
        <v>0</v>
      </c>
      <c r="V2" s="15">
        <v>16.78</v>
      </c>
      <c r="W2" s="15">
        <v>0</v>
      </c>
      <c r="X2" s="15">
        <v>0</v>
      </c>
      <c r="Y2" s="15">
        <v>7.0000000000000007E-2</v>
      </c>
      <c r="Z2" s="15">
        <v>0</v>
      </c>
      <c r="AA2" s="15">
        <v>136.21</v>
      </c>
      <c r="AB2" s="15">
        <v>3.63</v>
      </c>
      <c r="AC2" s="15">
        <v>22.37</v>
      </c>
      <c r="AD2" s="15">
        <v>-18.739999999999998</v>
      </c>
      <c r="AE2" s="15">
        <v>0</v>
      </c>
      <c r="AF2" s="15">
        <v>-18.739999999999998</v>
      </c>
      <c r="AG2" s="17">
        <v>-0.13400000000000001</v>
      </c>
      <c r="AH2" s="15"/>
    </row>
    <row r="3" spans="1:34" s="1" customFormat="1" ht="12" customHeight="1" x14ac:dyDescent="0.3">
      <c r="A3" s="13">
        <v>2565</v>
      </c>
      <c r="B3" s="12" t="s">
        <v>578</v>
      </c>
      <c r="C3" s="14">
        <v>46253</v>
      </c>
      <c r="D3" s="14">
        <v>46253</v>
      </c>
      <c r="E3" s="12"/>
      <c r="F3" s="15" t="s">
        <v>588</v>
      </c>
      <c r="G3" s="15" t="s">
        <v>589</v>
      </c>
      <c r="H3" s="15" t="s">
        <v>590</v>
      </c>
      <c r="I3" s="16">
        <v>66345.759999999995</v>
      </c>
      <c r="J3" s="15" t="s">
        <v>591</v>
      </c>
      <c r="K3" s="15" t="s">
        <v>583</v>
      </c>
      <c r="L3" s="15" t="s">
        <v>592</v>
      </c>
      <c r="M3" s="16">
        <v>4794.25</v>
      </c>
      <c r="N3" s="15">
        <v>3</v>
      </c>
      <c r="O3" s="16">
        <v>772.35</v>
      </c>
      <c r="P3" s="15" t="s">
        <v>578</v>
      </c>
      <c r="Q3" s="15">
        <v>0</v>
      </c>
      <c r="R3" s="15" t="s">
        <v>593</v>
      </c>
      <c r="S3" s="15">
        <v>0</v>
      </c>
      <c r="T3" s="15" t="s">
        <v>587</v>
      </c>
      <c r="U3" s="15">
        <v>0</v>
      </c>
      <c r="V3" s="15">
        <v>575.30999999999995</v>
      </c>
      <c r="W3" s="15">
        <v>0</v>
      </c>
      <c r="X3" s="15">
        <v>0</v>
      </c>
      <c r="Y3" s="15">
        <v>26.54</v>
      </c>
      <c r="Z3" s="15">
        <v>0</v>
      </c>
      <c r="AA3" s="16">
        <v>3322.49</v>
      </c>
      <c r="AB3" s="16">
        <v>1471.76</v>
      </c>
      <c r="AC3" s="15">
        <v>767.08</v>
      </c>
      <c r="AD3" s="15">
        <v>704.68000000000006</v>
      </c>
      <c r="AE3" s="15">
        <v>126.57</v>
      </c>
      <c r="AF3" s="15">
        <v>578.11</v>
      </c>
      <c r="AG3" s="17">
        <v>0.1206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34"/>
    </row>
    <row r="2" spans="4:25" ht="15" thickBot="1" x14ac:dyDescent="0.35">
      <c r="D2" s="55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36"/>
    </row>
    <row r="3" spans="4:25" ht="15" thickBot="1" x14ac:dyDescent="0.35">
      <c r="D3" s="55"/>
      <c r="E3" s="90">
        <f>'Resumo Detalhado'!B2</f>
        <v>4934.09</v>
      </c>
      <c r="F3" s="91"/>
      <c r="G3" s="92"/>
      <c r="H3" s="136">
        <f>'Resumo Detalhado'!C2</f>
        <v>779.95</v>
      </c>
      <c r="I3" s="137"/>
      <c r="J3" s="138">
        <f>E3/H3</f>
        <v>6.3261619334572723</v>
      </c>
      <c r="K3" s="139"/>
      <c r="L3" s="140"/>
      <c r="M3" s="108" t="s">
        <v>62</v>
      </c>
      <c r="N3" s="91"/>
      <c r="O3" s="92"/>
      <c r="P3" s="109">
        <v>1200</v>
      </c>
      <c r="Q3" s="110"/>
      <c r="R3" s="111"/>
      <c r="S3" s="105">
        <f>MIN(H3/P3,1)</f>
        <v>0.64995833333333342</v>
      </c>
      <c r="T3" s="106"/>
      <c r="U3" s="107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36"/>
    </row>
    <row r="6" spans="4:25" ht="15" thickBot="1" x14ac:dyDescent="0.35">
      <c r="D6" s="55"/>
      <c r="E6" s="132" t="s">
        <v>43</v>
      </c>
      <c r="F6" s="132"/>
      <c r="G6" s="132"/>
      <c r="H6" s="132"/>
      <c r="I6" s="132"/>
      <c r="J6" s="132" t="s">
        <v>44</v>
      </c>
      <c r="K6" s="132"/>
      <c r="L6" s="132"/>
      <c r="M6" s="132" t="s">
        <v>45</v>
      </c>
      <c r="N6" s="132"/>
      <c r="O6" s="132"/>
      <c r="P6" s="132" t="s">
        <v>46</v>
      </c>
      <c r="Q6" s="132"/>
      <c r="R6" s="132"/>
      <c r="S6" s="132" t="s">
        <v>47</v>
      </c>
      <c r="T6" s="132"/>
      <c r="U6" s="132"/>
      <c r="V6" s="36"/>
    </row>
    <row r="7" spans="4:25" ht="15" thickBot="1" x14ac:dyDescent="0.35">
      <c r="D7" s="55"/>
      <c r="E7" s="115">
        <f>E11+K11+Q11</f>
        <v>2800</v>
      </c>
      <c r="F7" s="115"/>
      <c r="G7" s="115"/>
      <c r="H7" s="115"/>
      <c r="I7" s="115"/>
      <c r="J7" s="115">
        <f>E7/H3</f>
        <v>3.589973716263863</v>
      </c>
      <c r="K7" s="115"/>
      <c r="L7" s="115"/>
      <c r="M7" s="133">
        <f>E7/E3</f>
        <v>0.5674805283243719</v>
      </c>
      <c r="N7" s="133"/>
      <c r="O7" s="133"/>
      <c r="P7" s="115">
        <f>E11+K11+Q11+E15+K15+Q15+E19+H19+K19</f>
        <v>4602.8816000000006</v>
      </c>
      <c r="Q7" s="115"/>
      <c r="R7" s="115"/>
      <c r="S7" s="115">
        <f>P7/H3</f>
        <v>5.9015085582409137</v>
      </c>
      <c r="T7" s="115"/>
      <c r="U7" s="115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36"/>
    </row>
    <row r="10" spans="4:25" ht="15" thickBot="1" x14ac:dyDescent="0.35">
      <c r="D10" s="55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36"/>
    </row>
    <row r="11" spans="4:25" ht="15" thickBot="1" x14ac:dyDescent="0.35">
      <c r="D11" s="55">
        <f>IF(E11=0,K11,E11)</f>
        <v>2800</v>
      </c>
      <c r="E11" s="114">
        <f>ROUNDUP('Resumo Detalhado'!F2,0)</f>
        <v>0</v>
      </c>
      <c r="F11" s="92"/>
      <c r="G11" s="38"/>
      <c r="H11" s="90">
        <f>E11/H3</f>
        <v>0</v>
      </c>
      <c r="I11" s="92"/>
      <c r="J11" s="38"/>
      <c r="K11" s="90">
        <v>2800</v>
      </c>
      <c r="L11" s="92"/>
      <c r="M11" s="38"/>
      <c r="N11" s="90">
        <f>K11/H3</f>
        <v>3.589973716263863</v>
      </c>
      <c r="O11" s="92"/>
      <c r="P11" s="38"/>
      <c r="Q11" s="90">
        <f>'Resumo Detalhado'!D2</f>
        <v>0</v>
      </c>
      <c r="R11" s="92"/>
      <c r="S11" s="38"/>
      <c r="T11" s="90">
        <f>Q11/H3</f>
        <v>0</v>
      </c>
      <c r="U11" s="92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36"/>
      <c r="W13" s="35" t="s">
        <v>58</v>
      </c>
      <c r="Y13" s="46">
        <v>11000</v>
      </c>
    </row>
    <row r="14" spans="4:25" ht="15" thickBot="1" x14ac:dyDescent="0.35">
      <c r="D14" s="55"/>
      <c r="E14" s="112" t="s">
        <v>59</v>
      </c>
      <c r="F14" s="120"/>
      <c r="G14" s="120"/>
      <c r="H14" s="120"/>
      <c r="I14" s="134"/>
      <c r="K14" s="119" t="s">
        <v>128</v>
      </c>
      <c r="L14" s="120"/>
      <c r="M14" s="120"/>
      <c r="N14" s="120"/>
      <c r="O14" s="134"/>
      <c r="Q14" s="119"/>
      <c r="R14" s="120"/>
      <c r="S14" s="120"/>
      <c r="T14" s="120"/>
      <c r="U14" s="113"/>
      <c r="V14" s="36"/>
      <c r="W14" s="35" t="s">
        <v>60</v>
      </c>
      <c r="Y14" s="46">
        <v>6000</v>
      </c>
    </row>
    <row r="15" spans="4:25" ht="15" thickBot="1" x14ac:dyDescent="0.35">
      <c r="D15" s="55"/>
      <c r="E15" s="124">
        <f>'Resumo Detalhado'!H2</f>
        <v>592.08999999999992</v>
      </c>
      <c r="F15" s="122"/>
      <c r="G15" s="122"/>
      <c r="H15" s="122"/>
      <c r="I15" s="135"/>
      <c r="J15" s="38"/>
      <c r="K15" s="116">
        <f>'Resumo Detalhado'!K2+'Resumo Detalhado'!L2</f>
        <v>789.45440000000008</v>
      </c>
      <c r="L15" s="117"/>
      <c r="M15" s="117"/>
      <c r="N15" s="117"/>
      <c r="O15" s="118"/>
      <c r="P15" s="38"/>
      <c r="Q15" s="121"/>
      <c r="R15" s="122"/>
      <c r="S15" s="122"/>
      <c r="T15" s="122"/>
      <c r="U15" s="123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3" t="s">
        <v>63</v>
      </c>
      <c r="F17" s="94"/>
      <c r="G17" s="94"/>
      <c r="H17" s="94"/>
      <c r="I17" s="94"/>
      <c r="J17" s="94"/>
      <c r="K17" s="94"/>
      <c r="L17" s="94"/>
      <c r="M17" s="50"/>
      <c r="N17" s="50"/>
      <c r="O17" s="94" t="s">
        <v>64</v>
      </c>
      <c r="P17" s="94"/>
      <c r="Q17" s="94"/>
      <c r="R17" s="94"/>
      <c r="S17" s="94"/>
      <c r="T17" s="94"/>
      <c r="U17" s="95"/>
      <c r="V17" s="36"/>
    </row>
    <row r="18" spans="4:25" ht="15" thickBot="1" x14ac:dyDescent="0.35">
      <c r="D18" s="55"/>
      <c r="E18" s="127" t="s">
        <v>65</v>
      </c>
      <c r="F18" s="128"/>
      <c r="H18" s="127" t="s">
        <v>66</v>
      </c>
      <c r="I18" s="128"/>
      <c r="K18" s="127" t="s">
        <v>67</v>
      </c>
      <c r="L18" s="128"/>
      <c r="N18" s="129" t="s">
        <v>68</v>
      </c>
      <c r="O18" s="130"/>
      <c r="P18" s="130"/>
      <c r="Q18" s="130"/>
      <c r="R18" s="131"/>
      <c r="S18" s="129" t="s">
        <v>69</v>
      </c>
      <c r="T18" s="130"/>
      <c r="U18" s="131"/>
      <c r="V18" s="36"/>
      <c r="W18" s="90" t="s">
        <v>70</v>
      </c>
      <c r="X18" s="91"/>
      <c r="Y18" s="92"/>
    </row>
    <row r="19" spans="4:25" ht="15" thickBot="1" x14ac:dyDescent="0.35">
      <c r="D19" s="55"/>
      <c r="E19" s="124">
        <f>'Resumo Detalhado'!I2</f>
        <v>26.61</v>
      </c>
      <c r="F19" s="123"/>
      <c r="G19" s="38"/>
      <c r="H19" s="125">
        <f>'Resumo Detalhado'!J2</f>
        <v>0</v>
      </c>
      <c r="I19" s="126"/>
      <c r="J19" s="38"/>
      <c r="K19" s="125">
        <f>'Resumo Detalhado'!L2</f>
        <v>394.72720000000004</v>
      </c>
      <c r="L19" s="126"/>
      <c r="M19" s="38"/>
      <c r="N19" s="124" t="s">
        <v>594</v>
      </c>
      <c r="O19" s="122"/>
      <c r="P19" s="122"/>
      <c r="Q19" s="122"/>
      <c r="R19" s="123"/>
      <c r="S19" s="124">
        <v>2600</v>
      </c>
      <c r="T19" s="122"/>
      <c r="U19" s="123"/>
      <c r="V19" s="36"/>
      <c r="W19" s="96" t="str">
        <f>IF(D11=S19,"NO TARGET",IF(D11&lt;S19,"ABAIXO DO TARGET",IF(D11&gt;S19,"FORA DO TARGET")))</f>
        <v>FORA DO TARGET</v>
      </c>
      <c r="X19" s="97"/>
      <c r="Y19" s="98"/>
    </row>
    <row r="20" spans="4:25" ht="15" thickBot="1" x14ac:dyDescent="0.35">
      <c r="D20" s="55"/>
      <c r="V20" s="36"/>
      <c r="W20" s="99"/>
      <c r="X20" s="100"/>
      <c r="Y20" s="101"/>
    </row>
    <row r="21" spans="4:25" ht="15" thickBot="1" x14ac:dyDescent="0.35">
      <c r="D21" s="55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36"/>
      <c r="W21" s="99"/>
      <c r="X21" s="100"/>
      <c r="Y21" s="101"/>
    </row>
    <row r="22" spans="4:25" ht="15" thickBot="1" x14ac:dyDescent="0.35">
      <c r="D22" s="55"/>
      <c r="E22" s="112" t="s">
        <v>71</v>
      </c>
      <c r="F22" s="120"/>
      <c r="G22" s="120"/>
      <c r="H22" s="120"/>
      <c r="I22" s="120"/>
      <c r="J22" s="120"/>
      <c r="K22" s="120"/>
      <c r="L22" s="113"/>
      <c r="N22" s="112" t="s">
        <v>72</v>
      </c>
      <c r="O22" s="120"/>
      <c r="P22" s="120"/>
      <c r="Q22" s="120"/>
      <c r="R22" s="120"/>
      <c r="S22" s="120"/>
      <c r="T22" s="120"/>
      <c r="U22" s="113"/>
      <c r="V22" s="36"/>
      <c r="W22" s="99"/>
      <c r="X22" s="100"/>
      <c r="Y22" s="101"/>
    </row>
    <row r="23" spans="4:25" ht="15" thickBot="1" x14ac:dyDescent="0.35">
      <c r="D23" s="55"/>
      <c r="E23" s="125">
        <f>'Resumo Detalhado'!N2</f>
        <v>3359.3656000000005</v>
      </c>
      <c r="F23" s="117"/>
      <c r="G23" s="117"/>
      <c r="H23" s="117"/>
      <c r="I23" s="117"/>
      <c r="J23" s="117"/>
      <c r="K23" s="117"/>
      <c r="L23" s="126"/>
      <c r="M23" s="38"/>
      <c r="N23" s="105">
        <f>E23/E3</f>
        <v>0.68084805911525736</v>
      </c>
      <c r="O23" s="106"/>
      <c r="P23" s="106"/>
      <c r="Q23" s="106"/>
      <c r="R23" s="106"/>
      <c r="S23" s="106"/>
      <c r="T23" s="106"/>
      <c r="U23" s="107"/>
      <c r="V23" s="36"/>
      <c r="W23" s="102"/>
      <c r="X23" s="103"/>
      <c r="Y23" s="10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595</v>
      </c>
      <c r="F1" s="29"/>
    </row>
    <row r="2" spans="1:18" x14ac:dyDescent="0.3">
      <c r="B2" s="29">
        <f>SUM(B6:B5000)</f>
        <v>4934.09</v>
      </c>
      <c r="C2" s="29">
        <f>SUM(C6:C5000)</f>
        <v>779.95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592.08999999999992</v>
      </c>
      <c r="I2" s="29">
        <f t="shared" si="0"/>
        <v>26.61</v>
      </c>
      <c r="J2" s="29">
        <f t="shared" si="0"/>
        <v>0</v>
      </c>
      <c r="K2" s="29">
        <f t="shared" si="0"/>
        <v>394.72720000000004</v>
      </c>
      <c r="L2" s="29">
        <f t="shared" si="0"/>
        <v>394.72720000000004</v>
      </c>
      <c r="M2" s="29">
        <f t="shared" si="0"/>
        <v>126.57</v>
      </c>
      <c r="N2" s="29">
        <f t="shared" si="0"/>
        <v>3359.3656000000005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88" t="s">
        <v>589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2565</v>
      </c>
      <c r="B6" s="89">
        <v>4794.25</v>
      </c>
      <c r="C6" s="51">
        <v>772.35</v>
      </c>
      <c r="D6" s="89">
        <v>0</v>
      </c>
      <c r="E6" s="89">
        <v>0</v>
      </c>
      <c r="F6" s="89">
        <v>0</v>
      </c>
      <c r="G6" s="52">
        <v>0</v>
      </c>
      <c r="H6" s="89">
        <v>575.30999999999995</v>
      </c>
      <c r="I6" s="89">
        <v>26.54</v>
      </c>
      <c r="J6" s="89">
        <v>0</v>
      </c>
      <c r="K6" s="89">
        <v>383.54</v>
      </c>
      <c r="L6" s="89">
        <v>383.54</v>
      </c>
      <c r="M6" s="89">
        <v>126.57</v>
      </c>
      <c r="N6" s="89">
        <v>3298.7500000000005</v>
      </c>
      <c r="O6" s="52">
        <v>0.68806382645877884</v>
      </c>
      <c r="Q6"/>
    </row>
    <row r="7" spans="1:18" s="31" customFormat="1" x14ac:dyDescent="0.3">
      <c r="A7" s="88" t="s">
        <v>580</v>
      </c>
      <c r="B7" s="89"/>
      <c r="C7" s="51"/>
      <c r="D7" s="89"/>
      <c r="E7" s="89"/>
      <c r="F7" s="89"/>
      <c r="G7" s="52"/>
      <c r="H7" s="89"/>
      <c r="I7" s="89"/>
      <c r="J7" s="89"/>
      <c r="K7" s="89"/>
      <c r="L7" s="89"/>
      <c r="M7" s="89"/>
      <c r="N7" s="89"/>
      <c r="O7" s="52"/>
      <c r="P7"/>
    </row>
    <row r="8" spans="1:18" s="31" customFormat="1" x14ac:dyDescent="0.3">
      <c r="A8" s="62">
        <v>2555</v>
      </c>
      <c r="B8" s="89">
        <v>139.84</v>
      </c>
      <c r="C8" s="51">
        <v>7.6</v>
      </c>
      <c r="D8" s="89">
        <v>0</v>
      </c>
      <c r="E8" s="89">
        <v>40</v>
      </c>
      <c r="F8" s="89">
        <v>0</v>
      </c>
      <c r="G8" s="52">
        <v>0.28604118993135008</v>
      </c>
      <c r="H8" s="89">
        <v>16.78</v>
      </c>
      <c r="I8" s="89">
        <v>7.0000000000000007E-2</v>
      </c>
      <c r="J8" s="89">
        <v>0</v>
      </c>
      <c r="K8" s="89">
        <v>11.187200000000001</v>
      </c>
      <c r="L8" s="89">
        <v>11.187200000000001</v>
      </c>
      <c r="M8" s="89">
        <v>0</v>
      </c>
      <c r="N8" s="89">
        <v>60.615600000000001</v>
      </c>
      <c r="O8" s="52">
        <v>0.43346395881006866</v>
      </c>
      <c r="P8"/>
    </row>
    <row r="9" spans="1:18" s="31" customFormat="1" x14ac:dyDescent="0.3">
      <c r="A9" s="9" t="s">
        <v>86</v>
      </c>
      <c r="B9" s="89"/>
      <c r="C9" s="51"/>
      <c r="D9" s="89"/>
      <c r="E9" s="89"/>
      <c r="F9" s="89"/>
      <c r="G9" s="52"/>
      <c r="H9" s="89"/>
      <c r="I9" s="89"/>
      <c r="J9" s="89"/>
      <c r="K9" s="89"/>
      <c r="L9" s="89"/>
      <c r="M9" s="89"/>
      <c r="N9" s="89"/>
      <c r="O9" s="5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595</v>
      </c>
    </row>
    <row r="2" spans="1:4" x14ac:dyDescent="0.3">
      <c r="B2" s="29">
        <f>SUM(B6:B5000)</f>
        <v>139.84</v>
      </c>
      <c r="C2" s="29">
        <f>SUM(C6:C5000)</f>
        <v>60.615600000000001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88" t="s">
        <v>589</v>
      </c>
      <c r="B5" s="10">
        <v>4794.25</v>
      </c>
      <c r="C5" s="10">
        <v>3298.7500000000005</v>
      </c>
    </row>
    <row r="6" spans="1:4" x14ac:dyDescent="0.3">
      <c r="A6" s="88" t="s">
        <v>580</v>
      </c>
      <c r="B6" s="89">
        <v>139.84</v>
      </c>
      <c r="C6" s="89">
        <v>60.615600000000001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6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2026-08-24T12:45:17Z</dcterms:modified>
  <cp:category/>
  <cp:contentStatus/>
</cp:coreProperties>
</file>