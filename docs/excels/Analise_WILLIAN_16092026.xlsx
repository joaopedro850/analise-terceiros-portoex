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13_ncr:1_{AA3FA10B-D194-49DF-94DB-26A52B868B0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2" l="1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S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<sst xmlns="http://schemas.openxmlformats.org/spreadsheetml/2006/main" count="868" uniqueCount="599">
  <si>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</si>
  <si>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</si>
  <si>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</si>
  <si>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</si>
  <si>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</si>
  <si>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</si>
  <si>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</si>
  <si>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</si>
  <si>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</si>
  <si>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</si>
  <si>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</si>
  <si>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</si>
  <si>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</si>
  <si>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</si>
  <si>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</si>
  <si>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</si>
  <si>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</si>
  <si>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</si>
  <si>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</si>
  <si>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</si>
  <si>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</si>
  <si>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</si>
  <si>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</si>
  <si>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</si>
  <si>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</si>
  <si>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</si>
  <si>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</si>
  <si>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</si>
  <si>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</si>
  <si>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</si>
  <si>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</si>
  <si>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</si>
  <si>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</si>
  <si>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</si>
  <si>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</si>
  <si>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</si>
  <si>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</si>
  <si>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</si>
  <si>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</si>
  <si>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</si>
  <si>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</si>
  <si>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</si>
  <si>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</si>
  <si>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</si>
  <si>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</si>
  <si>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</si>
  <si>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</si>
  <si>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</si>
  <si>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</si>
  <si>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</si>
  <si>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</si>
  <si>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</si>
  <si>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</si>
  <si>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</si>
  <si>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</si>
  <si>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</si>
  <si>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</si>
  <si>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</si>
  <si>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</si>
  <si>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</si>
  <si>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</si>
  <si>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</si>
  <si>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</si>
  <si>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</si>
  <si>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</si>
  <si>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</si>
  <si>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</si>
  <si>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</si>
  <si>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</si>
  <si>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</si>
  <si>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</si>
  <si>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</si>
  <si>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</si>
  <si>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</si>
  <si>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</si>
  <si>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</si>
  <si>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</si>
  <si>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</si>
  <si>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</si>
  <si>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</si>
  <si>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</si>
  <si>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</si>
  <si>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</si>
  <si>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</si>
  <si>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</si>
  <si>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</si>
  <si>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</si>
  <si>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</si>
  <si>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</si>
  <si>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</si>
  <si>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</si>
  <si>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</si>
  <si>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</si>
  <si>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</si>
  <si>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</si>
  <si>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</si>
  <si>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</si>
  <si>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</si>
  <si>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</si>
  <si>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</si>
  <si>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</si>
  <si>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</si>
  <si>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</si>
  <si>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</si>
  <si>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</si>
  <si>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</si>
  <si>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</si>
  <si>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</si>
  <si>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</si>
  <si>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</si>
  <si>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</si>
  <si>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</si>
  <si>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</si>
  <si>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</si>
  <si>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</si>
  <si>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</si>
  <si>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</si>
  <si>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</si>
  <si>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</si>
  <si>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</si>
  <si>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</si>
  <si>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</si>
  <si>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</si>
  <si>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</si>
  <si>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</si>
  <si>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</si>
  <si>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</si>
  <si>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</si>
  <si>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</si>
  <si>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</si>
  <si>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</si>
  <si>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</si>
  <si>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</si>
  <si>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</si>
  <si>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</si>
  <si>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</si>
  <si>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</si>
  <si>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</si>
  <si>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</si>
  <si>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</si>
  <si>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</si>
  <si>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</si>
  <si>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</si>
  <si>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</si>
  <si>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</si>
  <si>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</si>
  <si>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</si>
  <si>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</si>
  <si>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</si>
  <si>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</si>
  <si>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</si>
  <si>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</si>
  <si>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</si>
  <si>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</si>
  <si>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</si>
  <si>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</si>
  <si>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</si>
  <si>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</si>
  <si>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</si>
  <si>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</si>
  <si>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</si>
  <si>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</si>
  <si>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</si>
  <si>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</si>
  <si>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</si>
  <si>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</si>
  <si>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</si>
  <si>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</si>
  <si>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</si>
  <si>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</si>
  <si>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</si>
  <si>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</si>
  <si>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</si>
  <si>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</si>
  <si>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</si>
  <si>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</si>
  <si>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</si>
  <si>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</si>
  <si>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</si>
  <si>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</si>
  <si>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</si>
  <si>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</si>
  <si>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</si>
  <si>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</si>
  <si>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</si>
  <si>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</si>
  <si>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</si>
  <si>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</si>
  <si>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</si>
  <si>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</si>
  <si>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</si>
  <si>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</si>
  <si>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</si>
  <si>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</si>
  <si>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</si>
  <si>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</si>
  <si>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</si>
  <si>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</si>
  <si>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</si>
  <si>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</si>
  <si>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</si>
  <si>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</si>
  <si>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</si>
  <si>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</si>
  <si>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</si>
  <si>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</si>
  <si>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</si>
  <si>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</si>
  <si>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</si>
  <si>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</si>
  <si>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</si>
  <si>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</si>
  <si>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</si>
  <si>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</si>
  <si>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</si>
  <si>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</si>
  <si>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</si>
  <si>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</si>
  <si>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</si>
  <si>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</si>
  <si>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</si>
  <si>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</si>
  <si>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</si>
  <si>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</si>
  <si>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</si>
  <si>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</si>
  <si>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</si>
  <si>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</si>
  <si>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</si>
  <si>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</si>
  <si>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</si>
  <si>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</si>
  <si>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</si>
  <si>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</si>
  <si>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</si>
  <si>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</si>
  <si>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</si>
  <si>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</si>
  <si>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</si>
  <si>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</si>
  <si>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</si>
  <si>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</si>
  <si>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</si>
  <si>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</si>
  <si>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</si>
  <si>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</si>
  <si>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</si>
  <si>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</si>
  <si>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</si>
  <si>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</si>
  <si>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</si>
  <si>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</si>
  <si>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</si>
  <si>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</si>
  <si>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</si>
  <si>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</si>
  <si>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</si>
  <si>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</si>
  <si>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</si>
  <si>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</si>
  <si>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</si>
  <si>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</si>
  <si>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</si>
  <si>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</si>
  <si>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</si>
  <si>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</si>
  <si>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</si>
  <si>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</si>
  <si>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</si>
  <si>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</si>
  <si>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</si>
  <si>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</si>
  <si>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</si>
  <si>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</si>
  <si>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</si>
  <si>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</si>
  <si>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</si>
  <si>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</si>
  <si>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</si>
  <si>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</si>
  <si>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</si>
  <si>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</si>
  <si>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</si>
  <si>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</si>
  <si>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</si>
  <si>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</si>
  <si>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</si>
  <si>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</si>
  <si>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</si>
  <si>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</si>
  <si>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</si>
  <si>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</si>
  <si>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</si>
  <si>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</si>
  <si>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</si>
  <si>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</si>
  <si>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</si>
  <si>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</si>
  <si>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</si>
  <si>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</si>
  <si>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</si>
  <si>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</si>
  <si>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</si>
  <si>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</si>
  <si>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</si>
  <si>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</si>
  <si>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</si>
  <si>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</si>
  <si>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</si>
  <si>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</si>
  <si>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</si>
  <si>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</si>
  <si>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</si>
  <si>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</si>
  <si>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</si>
  <si>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</si>
  <si>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</si>
  <si>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</si>
  <si>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</si>
  <si>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</si>
  <si>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</si>
  <si>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</si>
  <si>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</si>
  <si>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</si>
  <si>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</si>
  <si>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</si>
  <si>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</si>
  <si>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</si>
  <si>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</si>
  <si>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</si>
  <si>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</si>
  <si>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</si>
  <si>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</si>
  <si>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</si>
  <si>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</si>
  <si>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</si>
  <si>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</si>
  <si>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</si>
  <si>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</si>
  <si>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</si>
  <si>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</si>
  <si>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</si>
  <si>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</si>
  <si>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</si>
  <si>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</si>
  <si>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</si>
  <si>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</si>
  <si>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</si>
  <si>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</si>
  <si>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</si>
  <si>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</si>
  <si>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</si>
  <si>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</si>
  <si>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</si>
  <si>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</si>
  <si>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</si>
  <si>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</si>
  <si>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</si>
  <si>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</si>
  <si>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</si>
  <si>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</si>
  <si>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</si>
  <si>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</si>
  <si>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</si>
  <si>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</si>
  <si>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</si>
  <si>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</si>
  <si>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</si>
  <si>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</si>
  <si>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</si>
  <si>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</si>
  <si>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</si>
  <si>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</si>
  <si>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</si>
  <si>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</si>
  <si>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</si>
  <si>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</si>
  <si>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</si>
  <si>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</si>
  <si>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</si>
  <si>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</si>
  <si>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</si>
  <si>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</si>
  <si>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</si>
  <si>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</si>
  <si>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</si>
  <si>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</si>
  <si>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</si>
  <si>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</si>
  <si>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</si>
  <si>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</si>
  <si>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</si>
  <si>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</si>
  <si>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</si>
  <si>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</si>
  <si>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</si>
  <si>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</si>
  <si>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</si>
  <si>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</si>
  <si>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</si>
  <si>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</si>
  <si>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</si>
  <si>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</si>
  <si>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</si>
  <si>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</si>
  <si>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</si>
  <si>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</si>
  <si>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</si>
  <si>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</si>
  <si>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</si>
  <si>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</si>
  <si>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</si>
  <si>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</si>
  <si>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</si>
  <si>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</si>
  <si>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</si>
  <si>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</si>
  <si>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</si>
  <si>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</si>
  <si>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</si>
  <si>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</si>
  <si>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</si>
  <si>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</si>
  <si>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</si>
  <si>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</si>
  <si>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</si>
  <si>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</si>
  <si>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</si>
  <si>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</si>
  <si>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</si>
  <si>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</si>
  <si>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</si>
  <si>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</si>
  <si>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</si>
  <si>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</si>
  <si>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</si>
  <si>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</si>
  <si>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</si>
  <si>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</si>
  <si>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</si>
  <si>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</si>
  <si>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</si>
  <si>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</si>
  <si>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</si>
  <si>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</si>
  <si>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</si>
  <si>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</si>
  <si>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</si>
  <si>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</si>
  <si>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</si>
  <si>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</si>
  <si>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</si>
  <si>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</si>
  <si>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</si>
  <si>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</si>
  <si>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</si>
  <si>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</si>
  <si>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</si>
  <si>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</si>
  <si>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</si>
  <si>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</si>
  <si>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</si>
  <si>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</si>
  <si>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</si>
  <si>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</si>
  <si>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</si>
  <si>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</si>
  <si>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</si>
  <si>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</si>
  <si>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</si>
  <si>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</si>
  <si>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</si>
  <si>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</si>
  <si>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</si>
  <si>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</si>
  <si>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</si>
  <si>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</si>
  <si>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</si>
  <si>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</si>
  <si>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</si>
  <si>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</si>
  <si>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</si>
  <si>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</si>
  <si>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</si>
  <si>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</si>
  <si>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</si>
  <si>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</si>
  <si>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</si>
  <si>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</si>
  <si>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</si>
  <si>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</si>
  <si>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</si>
  <si>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</si>
  <si>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</si>
  <si>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</si>
  <si>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</si>
  <si>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</si>
  <si>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</si>
  <si>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</si>
  <si>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</si>
  <si>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</si>
  <si>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</si>
  <si>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</si>
  <si>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</si>
  <si>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</si>
  <si>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</si>
  <si>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</si>
  <si>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</si>
  <si>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</si>
  <si>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</si>
  <si>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</si>
  <si>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</si>
  <si>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</si>
  <si>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</si>
  <si>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</si>
  <si>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</si>
  <si>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</si>
  <si>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</si>
  <si>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</si>
  <si>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</si>
  <si>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</si>
  <si>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</si>
  <si>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</si>
  <si>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</si>
  <si>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</si>
  <si>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</si>
  <si>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</si>
  <si>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</si>
  <si>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</si>
  <si>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</si>
  <si>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</si>
  <si>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</si>
  <si>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</si>
  <si>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</si>
  <si>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</si>
  <si>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</si>
  <si>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</si>
  <si>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</si>
  <si>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</si>
  <si>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</si>
  <si>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</si>
  <si>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</si>
  <si>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</si>
  <si>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</si>
  <si>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</si>
  <si>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</si>
  <si>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</si>
  <si>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</si>
  <si>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</si>
  <si>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</si>
  <si>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</si>
  <si>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</si>
  <si>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</si>
  <si>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</si>
  <si>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</si>
  <si>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</si>
  <si>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</si>
  <si>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</si>
  <si>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</si>
  <si>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</si>
  <si>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</si>
  <si>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</si>
  <si>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</si>
  <si>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</si>
  <si>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</si>
  <si>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</si>
  <si>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</si>
  <si>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</si>
  <si>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</si>
  <si>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</si>
  <si>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</si>
  <si>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</si>
  <si>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</si>
  <si>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</si>
  <si>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</si>
  <si>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</si>
  <si>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</si>
  <si>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</si>
  <si>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</si>
  <si>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</si>
  <si>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</si>
  <si>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</si>
  <si>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</si>
  <si>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</si>
  <si>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</si>
  <si>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</si>
  <si>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</si>
  <si>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</si>
  <si>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MATRIZ</t>
  </si>
  <si>
    <t>3047-1</t>
  </si>
  <si>
    <t>AC COMERCIAL IM</t>
  </si>
  <si>
    <t>TIAGO SANTANA</t>
  </si>
  <si>
    <t>PERSONALIZADO</t>
  </si>
  <si>
    <t>CTE NORMAL</t>
  </si>
  <si>
    <t>SALVADOR - BA</t>
  </si>
  <si>
    <t>HELTON JOHN DA SILVA</t>
  </si>
  <si>
    <t>ADRIANA VILMA DA CRUZ BEZ</t>
  </si>
  <si>
    <t>INDEFINIDO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</si>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</sst>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0" fillId="0" borderId="40" xfId="0" applyBorder="1" applyAlignment="1">
      <alignment horizontal="left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[Analise_WILLIAN_16092026.xlsx]Resumo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17195.310000000001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35.355200000001105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[Analise_WILLIAN_16092026.xlsx]Resumo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17195.310000000001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35.355200000001105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6.614393750002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148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5T00:00:00" maxDate="2026-09-16T00:00:00"/>
    </cacheField>
    <cacheField name="DATA" numFmtId="14">
      <sharedItems containsNonDate="0" containsDate="1" containsString="0" containsBlank="1" minDate="2026-09-15T00:00:00" maxDate="2026-09-16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AC COMERCIAL IM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01645.24" maxValue="201645.24"/>
    </cacheField>
    <cacheField name="SERVICO" numFmtId="0">
      <sharedItems containsBlank="1" count="27">
        <s v="PERSONALIZADO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7195.310000000001" maxValue="17195.310000000001"/>
    </cacheField>
    <cacheField name="VOLUMES" numFmtId="0">
      <sharedItems containsString="0" containsBlank="1" containsNumber="1" containsInteger="1" minValue="10" maxValue="10"/>
    </cacheField>
    <cacheField name="PESO" numFmtId="0">
      <sharedItems containsString="0" containsBlank="1" containsNumber="1" containsInteger="1" minValue="3561" maxValue="3561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300" maxValue="30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14200" maxValue="142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203.67" maxValue="1203.67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80.66" maxValue="80.66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5784.33" maxValue="15784.33"/>
    </cacheField>
    <cacheField name="RECEITA" numFmtId="0">
      <sharedItems containsString="0" containsBlank="1" containsNumber="1" minValue="1410.98" maxValue="1410.98"/>
    </cacheField>
    <cacheField name="IMPOSTO" numFmtId="0">
      <sharedItems containsString="0" containsBlank="1" containsNumber="1" minValue="2751.25" maxValue="2751.25"/>
    </cacheField>
    <cacheField name="RESULTADO" numFmtId="0">
      <sharedItems containsString="0" containsBlank="1" containsNumber="1" minValue="-1500.19" maxValue="-1500.19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500.19" maxValue="-1500.19"/>
    </cacheField>
    <cacheField name="MARGEM" numFmtId="10">
      <sharedItems containsString="0" containsBlank="1" containsNumber="1" minValue="-8.72E-2" maxValue="-8.72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15T00:00:00"/>
    <d v="2026-09-15T00:00:00"/>
    <m/>
    <s v="3047-1"/>
    <x v="0"/>
    <s v="TIAGO SANTANA"/>
    <n v="201645.24"/>
    <x v="0"/>
    <s v="CTE NORMAL"/>
    <s v="SALVADOR - BA"/>
    <n v="17195.310000000001"/>
    <n v="10"/>
    <n v="3561"/>
    <s v="HELTON JOHN DA SILVA"/>
    <n v="300"/>
    <s v="ADRIANA VILMA DA CRUZ BEZ"/>
    <n v="14200"/>
    <s v="INDEFINIDO"/>
    <n v="0"/>
    <n v="1203.67"/>
    <n v="0"/>
    <n v="0"/>
    <n v="80.66"/>
    <n v="0"/>
    <n v="15784.33"/>
    <n v="1410.98"/>
    <n v="2751.25"/>
    <n v="-1500.19"/>
    <n v="0"/>
    <n v="-1500.19"/>
    <n v="-8.72E-2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x="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3"/>
        <item m="1" x="25"/>
        <item m="1" x="18"/>
        <item x="1"/>
        <item m="1" x="7"/>
        <item m="1" x="2"/>
        <item m="1" x="10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x="0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21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x="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sd="0"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3"/>
        <item m="1" x="25"/>
        <item m="1" x="18"/>
        <item x="1"/>
        <item m="1" x="7"/>
        <item m="1" x="2"/>
        <item m="1" x="10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x="0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2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2" s="1" nd="1"/>
        <i x="794" s="1" nd="1"/>
        <i x="543" s="1" nd="1"/>
        <i x="148" s="1" nd="1"/>
        <i x="186" s="1" nd="1"/>
        <i x="272" s="1" nd="1"/>
        <i x="11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3" s="1" nd="1"/>
        <i x="581" s="1" nd="1"/>
        <i x="852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5" s="1" nd="1"/>
        <i x="46" s="1" nd="1"/>
        <i x="668" s="1" nd="1"/>
        <i x="660" s="1" nd="1"/>
        <i x="468" s="1" nd="1"/>
        <i x="43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7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4" s="1" nd="1"/>
        <i x="770" s="1" nd="1"/>
        <i x="14" s="1" nd="1"/>
        <i x="739" s="1" nd="1"/>
        <i x="392" s="1" nd="1"/>
        <i x="275" s="1" nd="1"/>
        <i x="64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1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2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8" s="1" nd="1"/>
        <i x="631" s="1" nd="1"/>
        <i x="530" s="1" nd="1"/>
        <i x="294" s="1" nd="1"/>
        <i x="303" s="1" nd="1"/>
        <i x="173" s="1" nd="1"/>
        <i x="100" s="1" nd="1"/>
        <i x="69" s="1" nd="1"/>
        <i x="578" s="1" nd="1"/>
        <i x="798" s="1" nd="1"/>
        <i x="31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7" s="1" nd="1"/>
        <i x="582" s="1" nd="1"/>
        <i x="18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9" s="1" nd="1"/>
        <i x="41" s="1" nd="1"/>
        <i x="16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3" s="1" nd="1"/>
        <i x="635" s="1" nd="1"/>
        <i x="457" s="1" nd="1"/>
        <i x="790" s="1" nd="1"/>
        <i x="703" s="1" nd="1"/>
        <i x="233" s="1" nd="1"/>
        <i x="597" s="1" nd="1"/>
        <i x="42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0" s="1" nd="1"/>
        <i x="805" s="1" nd="1"/>
        <i x="486" s="1" nd="1"/>
        <i x="442" s="1" nd="1"/>
        <i x="398" s="1" nd="1"/>
        <i x="608" s="1" nd="1"/>
        <i x="152" s="1" nd="1"/>
        <i x="15" s="1" nd="1"/>
        <i x="231" s="1" nd="1"/>
        <i x="240" s="1" nd="1"/>
        <i x="5" s="1" nd="1"/>
        <i x="387" s="1" nd="1"/>
        <i x="369" s="1" nd="1"/>
        <i x="615" s="1" nd="1"/>
        <i x="56" s="1" nd="1"/>
        <i x="707" s="1" nd="1"/>
        <i x="22" s="1" nd="1"/>
        <i x="35" s="1" nd="1"/>
        <i x="8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7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6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0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2" s="1" nd="1"/>
        <i x="301" s="1" nd="1"/>
        <i x="548" s="1" nd="1"/>
        <i x="59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4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3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2" s="1" nd="1"/>
        <i x="271" s="1" nd="1"/>
        <i x="74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8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0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49" s="1" nd="1"/>
        <i x="605" s="1" nd="1"/>
        <i x="83" s="1" nd="1"/>
        <i x="325" s="1" nd="1"/>
        <i x="33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3" s="1" nd="1"/>
        <i x="669" s="1" nd="1"/>
        <i x="93" s="1" nd="1"/>
        <i x="439" s="1" nd="1"/>
        <i x="350" s="1" nd="1"/>
        <i x="784" s="1" nd="1"/>
        <i x="498" s="1" nd="1"/>
        <i x="60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7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0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9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0" s="1" nd="1"/>
        <i x="141" s="1" nd="1"/>
        <i x="651" s="1" nd="1"/>
        <i x="604" s="1" nd="1"/>
        <i x="440" s="1" nd="1"/>
        <i x="21" s="1" nd="1"/>
        <i x="594" s="1" nd="1"/>
        <i x="434" s="1" nd="1"/>
        <i x="66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1" s="1" nd="1"/>
        <i x="76" s="1" nd="1"/>
        <i x="528" s="1" nd="1"/>
        <i x="566" s="1" nd="1"/>
        <i x="687" s="1" nd="1"/>
        <i x="279" s="1" nd="1"/>
        <i x="524" s="1" nd="1"/>
        <i x="525" s="1" nd="1"/>
        <i x="36" s="1" nd="1"/>
        <i x="592" s="1" nd="1"/>
        <i x="801" s="1" nd="1"/>
        <i x="583" s="1" nd="1"/>
        <i x="749" s="1" nd="1"/>
        <i x="722" s="1" nd="1"/>
        <i x="532" s="1" nd="1"/>
        <i x="45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4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3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8" s="1" nd="1"/>
        <i x="50" s="1" nd="1"/>
        <i x="851" s="1" nd="1"/>
        <i x="28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39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7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6" s="1" nd="1"/>
        <i x="277" s="1" nd="1"/>
        <i x="507" s="1" nd="1"/>
        <i x="499" s="1" nd="1"/>
        <i x="67" s="1" nd="1"/>
        <i x="679" s="1" nd="1"/>
        <i x="80" s="1" nd="1"/>
        <i x="634" s="1" nd="1"/>
        <i x="65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2" s="1" nd="1"/>
        <i x="423" s="1" nd="1"/>
        <i x="25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29" s="1" nd="1"/>
        <i x="104" s="1" nd="1"/>
        <i x="533" s="1" nd="1"/>
        <i x="296" s="1" nd="1"/>
        <i x="396" s="1" nd="1"/>
        <i x="228" s="1" nd="1"/>
        <i x="7" s="1" nd="1"/>
        <i x="472" s="1" nd="1"/>
        <i x="824" s="1" nd="1"/>
        <i x="34" s="1" nd="1"/>
        <i x="310" s="1" nd="1"/>
        <i x="825" s="1" nd="1"/>
        <i x="562" s="1" nd="1"/>
        <i x="61" s="1" nd="1"/>
        <i x="568" s="1" nd="1"/>
        <i x="430" s="1" nd="1"/>
        <i x="425" s="1" nd="1"/>
        <i x="175" s="1" nd="1"/>
        <i x="365" s="1" nd="1"/>
        <i x="758" s="1" nd="1"/>
        <i x="600" s="1" nd="1"/>
        <i x="12" s="1" nd="1"/>
        <i x="91" s="1" nd="1"/>
        <i x="437" s="1" nd="1"/>
        <i x="433" s="1" nd="1"/>
        <i x="120" s="1" nd="1"/>
        <i x="630" s="1" nd="1"/>
        <i x="200" s="1" nd="1"/>
        <i x="155" s="1" nd="1"/>
        <i x="54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2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5" s="1" nd="1"/>
        <i x="128" s="1" nd="1"/>
        <i x="3" s="1" nd="1"/>
        <i x="48" s="1" nd="1"/>
        <i x="89" s="1" nd="1"/>
        <i x="201" s="1" nd="1"/>
        <i x="3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4" s="1" nd="1"/>
        <i x="15" s="1" nd="1"/>
        <i x="24" s="1" nd="1"/>
        <i x="4" s="1" nd="1"/>
        <i x="7" s="1" nd="1"/>
        <i x="9" s="1" nd="1"/>
        <i x="12" s="1" nd="1"/>
        <i x="18" s="1" nd="1"/>
        <i x="19" s="1" nd="1"/>
        <i x="3" s="1" nd="1"/>
        <i x="23" s="1" nd="1"/>
        <i x="6" s="1" nd="1"/>
        <i x="22" s="1" nd="1"/>
        <i x="21" s="1" nd="1"/>
        <i x="17" s="1" nd="1"/>
        <i x="20" s="1" nd="1"/>
        <i x="2" s="1" nd="1"/>
        <i x="25" s="1" nd="1"/>
        <i x="11" s="1" nd="1"/>
        <i x="13" s="1" nd="1"/>
        <i x="10" s="1" nd="1"/>
        <i x="8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74" totalsRowShown="0" headerRowDxfId="92" dataDxfId="90" headerRowBorderDxfId="91" tableBorderDxfId="89" totalsRowBorderDxfId="88">
  <autoFilter ref="A1:D37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3148</v>
      </c>
      <c r="B2" s="12" t="s">
        <v>588</v>
      </c>
      <c r="C2" s="14">
        <v>46280</v>
      </c>
      <c r="D2" s="14">
        <v>46280</v>
      </c>
      <c r="E2" s="12"/>
      <c r="F2" s="15" t="s">
        <v>589</v>
      </c>
      <c r="G2" s="15" t="s">
        <v>590</v>
      </c>
      <c r="H2" s="15" t="s">
        <v>591</v>
      </c>
      <c r="I2" s="16">
        <v>201645.24</v>
      </c>
      <c r="J2" s="15" t="s">
        <v>592</v>
      </c>
      <c r="K2" s="15" t="s">
        <v>593</v>
      </c>
      <c r="L2" s="15" t="s">
        <v>594</v>
      </c>
      <c r="M2" s="15">
        <v>17195.310000000001</v>
      </c>
      <c r="N2" s="15">
        <v>10</v>
      </c>
      <c r="O2" s="16">
        <v>3561</v>
      </c>
      <c r="P2" s="15" t="s">
        <v>595</v>
      </c>
      <c r="Q2" s="15">
        <v>300</v>
      </c>
      <c r="R2" s="15" t="s">
        <v>596</v>
      </c>
      <c r="S2" s="15">
        <v>14200</v>
      </c>
      <c r="T2" s="15" t="s">
        <v>597</v>
      </c>
      <c r="U2" s="15">
        <v>0</v>
      </c>
      <c r="V2" s="15">
        <v>1203.67</v>
      </c>
      <c r="W2" s="15">
        <v>0</v>
      </c>
      <c r="X2" s="15">
        <v>0</v>
      </c>
      <c r="Y2" s="15">
        <v>80.66</v>
      </c>
      <c r="Z2" s="15">
        <v>0</v>
      </c>
      <c r="AA2" s="15">
        <v>15784.33</v>
      </c>
      <c r="AB2" s="15">
        <v>1410.98</v>
      </c>
      <c r="AC2" s="15">
        <v>2751.25</v>
      </c>
      <c r="AD2" s="15">
        <v>-1500.19</v>
      </c>
      <c r="AE2" s="15">
        <v>0</v>
      </c>
      <c r="AF2" s="15">
        <v>-1500.19</v>
      </c>
      <c r="AG2" s="17">
        <v>-8.72E-2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2" t="s">
        <v>34</v>
      </c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4"/>
      <c r="V1" s="34"/>
    </row>
    <row r="2" spans="4:25" ht="15" thickBot="1" x14ac:dyDescent="0.35">
      <c r="D2" s="55"/>
      <c r="E2" s="92" t="s">
        <v>35</v>
      </c>
      <c r="F2" s="93"/>
      <c r="G2" s="94"/>
      <c r="H2" s="92" t="s">
        <v>36</v>
      </c>
      <c r="I2" s="93"/>
      <c r="J2" s="92" t="s">
        <v>37</v>
      </c>
      <c r="K2" s="93"/>
      <c r="L2" s="94"/>
      <c r="M2" s="92" t="s">
        <v>38</v>
      </c>
      <c r="N2" s="93"/>
      <c r="O2" s="94"/>
      <c r="P2" s="92" t="s">
        <v>39</v>
      </c>
      <c r="Q2" s="93"/>
      <c r="R2" s="94"/>
      <c r="S2" s="92" t="s">
        <v>40</v>
      </c>
      <c r="T2" s="93"/>
      <c r="U2" s="94"/>
      <c r="V2" s="36"/>
    </row>
    <row r="3" spans="4:25" ht="15" thickBot="1" x14ac:dyDescent="0.35">
      <c r="D3" s="55"/>
      <c r="E3" s="89">
        <f>'Resumo Detalhado'!B2</f>
        <v>17195.310000000001</v>
      </c>
      <c r="F3" s="90"/>
      <c r="G3" s="91"/>
      <c r="H3" s="135">
        <f>'Resumo Detalhado'!C2</f>
        <v>3561</v>
      </c>
      <c r="I3" s="136"/>
      <c r="J3" s="137">
        <f>E3/H3</f>
        <v>4.8287868576242632</v>
      </c>
      <c r="K3" s="138"/>
      <c r="L3" s="139"/>
      <c r="M3" s="107" t="s">
        <v>60</v>
      </c>
      <c r="N3" s="90"/>
      <c r="O3" s="91"/>
      <c r="P3" s="108">
        <v>6000</v>
      </c>
      <c r="Q3" s="109"/>
      <c r="R3" s="110"/>
      <c r="S3" s="104">
        <f>MIN(H3/P3,1)</f>
        <v>0.59350000000000003</v>
      </c>
      <c r="T3" s="105"/>
      <c r="U3" s="106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2" t="s">
        <v>42</v>
      </c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4"/>
      <c r="V5" s="36"/>
    </row>
    <row r="6" spans="4:25" ht="15" thickBot="1" x14ac:dyDescent="0.35">
      <c r="D6" s="55"/>
      <c r="E6" s="131" t="s">
        <v>43</v>
      </c>
      <c r="F6" s="131"/>
      <c r="G6" s="131"/>
      <c r="H6" s="131"/>
      <c r="I6" s="131"/>
      <c r="J6" s="131" t="s">
        <v>44</v>
      </c>
      <c r="K6" s="131"/>
      <c r="L6" s="131"/>
      <c r="M6" s="131" t="s">
        <v>45</v>
      </c>
      <c r="N6" s="131"/>
      <c r="O6" s="131"/>
      <c r="P6" s="131" t="s">
        <v>46</v>
      </c>
      <c r="Q6" s="131"/>
      <c r="R6" s="131"/>
      <c r="S6" s="131" t="s">
        <v>47</v>
      </c>
      <c r="T6" s="131"/>
      <c r="U6" s="131"/>
      <c r="V6" s="36"/>
    </row>
    <row r="7" spans="4:25" ht="15" thickBot="1" x14ac:dyDescent="0.35">
      <c r="D7" s="55"/>
      <c r="E7" s="114">
        <f>E11+K11+Q11</f>
        <v>14500</v>
      </c>
      <c r="F7" s="114"/>
      <c r="G7" s="114"/>
      <c r="H7" s="114"/>
      <c r="I7" s="114"/>
      <c r="J7" s="114">
        <f>E7/H3</f>
        <v>4.0718899185622019</v>
      </c>
      <c r="K7" s="114"/>
      <c r="L7" s="114"/>
      <c r="M7" s="132">
        <f>E7/E3</f>
        <v>0.84325318938710603</v>
      </c>
      <c r="N7" s="132"/>
      <c r="O7" s="132"/>
      <c r="P7" s="114">
        <f>E11+K11+Q11+E15+K15+Q15+E19+H19+K19</f>
        <v>19911.204400000002</v>
      </c>
      <c r="Q7" s="114"/>
      <c r="R7" s="114"/>
      <c r="S7" s="114">
        <f>P7/H3</f>
        <v>5.5914643077787147</v>
      </c>
      <c r="T7" s="114"/>
      <c r="U7" s="114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2" t="s">
        <v>48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4"/>
      <c r="V9" s="36"/>
    </row>
    <row r="10" spans="4:25" ht="15" thickBot="1" x14ac:dyDescent="0.35">
      <c r="D10" s="55"/>
      <c r="E10" s="111" t="s">
        <v>49</v>
      </c>
      <c r="F10" s="112"/>
      <c r="H10" s="111" t="s">
        <v>50</v>
      </c>
      <c r="I10" s="112"/>
      <c r="K10" s="111" t="s">
        <v>51</v>
      </c>
      <c r="L10" s="112"/>
      <c r="N10" s="111" t="s">
        <v>52</v>
      </c>
      <c r="O10" s="112"/>
      <c r="Q10" s="111" t="s">
        <v>53</v>
      </c>
      <c r="R10" s="112"/>
      <c r="T10" s="111" t="s">
        <v>54</v>
      </c>
      <c r="U10" s="112"/>
      <c r="V10" s="36"/>
    </row>
    <row r="11" spans="4:25" ht="15" thickBot="1" x14ac:dyDescent="0.35">
      <c r="D11" s="55">
        <f>IF(E11=0,K11,E11)</f>
        <v>14200</v>
      </c>
      <c r="E11" s="113">
        <f>ROUNDUP('Resumo Detalhado'!F2,0)</f>
        <v>0</v>
      </c>
      <c r="F11" s="91"/>
      <c r="G11" s="38"/>
      <c r="H11" s="89">
        <f>E11/H3</f>
        <v>0</v>
      </c>
      <c r="I11" s="91"/>
      <c r="J11" s="38"/>
      <c r="K11" s="89">
        <v>14200</v>
      </c>
      <c r="L11" s="91"/>
      <c r="M11" s="38"/>
      <c r="N11" s="89">
        <f>K11/H3</f>
        <v>3.9876439202471214</v>
      </c>
      <c r="O11" s="91"/>
      <c r="P11" s="38"/>
      <c r="Q11" s="89">
        <f>'Resumo Detalhado'!D2</f>
        <v>300</v>
      </c>
      <c r="R11" s="91"/>
      <c r="S11" s="38"/>
      <c r="T11" s="89">
        <f>Q11/H3</f>
        <v>8.4245998315080034E-2</v>
      </c>
      <c r="U11" s="91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2" t="s">
        <v>57</v>
      </c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4"/>
      <c r="V13" s="36"/>
      <c r="W13" s="35" t="s">
        <v>58</v>
      </c>
      <c r="Y13" s="46">
        <v>11000</v>
      </c>
    </row>
    <row r="14" spans="4:25" ht="15" thickBot="1" x14ac:dyDescent="0.35">
      <c r="D14" s="55"/>
      <c r="E14" s="111" t="s">
        <v>59</v>
      </c>
      <c r="F14" s="119"/>
      <c r="G14" s="119"/>
      <c r="H14" s="119"/>
      <c r="I14" s="133"/>
      <c r="K14" s="118" t="s">
        <v>128</v>
      </c>
      <c r="L14" s="119"/>
      <c r="M14" s="119"/>
      <c r="N14" s="119"/>
      <c r="O14" s="133"/>
      <c r="Q14" s="118"/>
      <c r="R14" s="119"/>
      <c r="S14" s="119"/>
      <c r="T14" s="119"/>
      <c r="U14" s="112"/>
      <c r="V14" s="36"/>
      <c r="W14" s="35" t="s">
        <v>60</v>
      </c>
      <c r="Y14" s="46">
        <v>6000</v>
      </c>
    </row>
    <row r="15" spans="4:25" ht="15" thickBot="1" x14ac:dyDescent="0.35">
      <c r="D15" s="55"/>
      <c r="E15" s="123">
        <f>'Resumo Detalhado'!H2</f>
        <v>1203.67</v>
      </c>
      <c r="F15" s="121"/>
      <c r="G15" s="121"/>
      <c r="H15" s="121"/>
      <c r="I15" s="134"/>
      <c r="J15" s="38"/>
      <c r="K15" s="115">
        <f>'Resumo Detalhado'!K2+'Resumo Detalhado'!L2</f>
        <v>2751.2496000000001</v>
      </c>
      <c r="L15" s="116"/>
      <c r="M15" s="116"/>
      <c r="N15" s="116"/>
      <c r="O15" s="117"/>
      <c r="P15" s="38"/>
      <c r="Q15" s="120"/>
      <c r="R15" s="121"/>
      <c r="S15" s="121"/>
      <c r="T15" s="121"/>
      <c r="U15" s="122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2" t="s">
        <v>63</v>
      </c>
      <c r="F17" s="93"/>
      <c r="G17" s="93"/>
      <c r="H17" s="93"/>
      <c r="I17" s="93"/>
      <c r="J17" s="93"/>
      <c r="K17" s="93"/>
      <c r="L17" s="93"/>
      <c r="M17" s="50"/>
      <c r="N17" s="50"/>
      <c r="O17" s="93" t="s">
        <v>64</v>
      </c>
      <c r="P17" s="93"/>
      <c r="Q17" s="93"/>
      <c r="R17" s="93"/>
      <c r="S17" s="93"/>
      <c r="T17" s="93"/>
      <c r="U17" s="94"/>
      <c r="V17" s="36"/>
    </row>
    <row r="18" spans="4:25" ht="15" thickBot="1" x14ac:dyDescent="0.35">
      <c r="D18" s="55"/>
      <c r="E18" s="126" t="s">
        <v>65</v>
      </c>
      <c r="F18" s="127"/>
      <c r="H18" s="126" t="s">
        <v>66</v>
      </c>
      <c r="I18" s="127"/>
      <c r="K18" s="126" t="s">
        <v>67</v>
      </c>
      <c r="L18" s="127"/>
      <c r="N18" s="128" t="s">
        <v>68</v>
      </c>
      <c r="O18" s="129"/>
      <c r="P18" s="129"/>
      <c r="Q18" s="129"/>
      <c r="R18" s="130"/>
      <c r="S18" s="128" t="s">
        <v>69</v>
      </c>
      <c r="T18" s="129"/>
      <c r="U18" s="130"/>
      <c r="V18" s="36"/>
      <c r="W18" s="89" t="s">
        <v>70</v>
      </c>
      <c r="X18" s="90"/>
      <c r="Y18" s="91"/>
    </row>
    <row r="19" spans="4:25" ht="15" thickBot="1" x14ac:dyDescent="0.35">
      <c r="D19" s="55"/>
      <c r="E19" s="123">
        <f>'Resumo Detalhado'!I2</f>
        <v>80.66</v>
      </c>
      <c r="F19" s="122"/>
      <c r="G19" s="38"/>
      <c r="H19" s="124">
        <f>'Resumo Detalhado'!J2</f>
        <v>0</v>
      </c>
      <c r="I19" s="125"/>
      <c r="J19" s="38"/>
      <c r="K19" s="124">
        <f>'Resumo Detalhado'!L2</f>
        <v>1375.6248000000001</v>
      </c>
      <c r="L19" s="125"/>
      <c r="M19" s="38"/>
      <c r="N19" s="123" t="s">
        <v>585</v>
      </c>
      <c r="O19" s="121"/>
      <c r="P19" s="121"/>
      <c r="Q19" s="121"/>
      <c r="R19" s="122"/>
      <c r="S19" s="123">
        <v>14200</v>
      </c>
      <c r="T19" s="121"/>
      <c r="U19" s="122"/>
      <c r="V19" s="36"/>
      <c r="W19" s="95" t="str">
        <f>IF(D11=S19,"NO TARGET",IF(D11&lt;S19,"ABAIXO DO TARGET",IF(D11&gt;S19,"FORA DO TARGET")))</f>
        <v>NO TARGET</v>
      </c>
      <c r="X19" s="96"/>
      <c r="Y19" s="97"/>
    </row>
    <row r="20" spans="4:25" ht="15" thickBot="1" x14ac:dyDescent="0.35">
      <c r="D20" s="55"/>
      <c r="V20" s="36"/>
      <c r="W20" s="98"/>
      <c r="X20" s="99"/>
      <c r="Y20" s="100"/>
    </row>
    <row r="21" spans="4:25" ht="15" thickBot="1" x14ac:dyDescent="0.35">
      <c r="D21" s="55"/>
      <c r="E21" s="92" t="s">
        <v>29</v>
      </c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4"/>
      <c r="V21" s="36"/>
      <c r="W21" s="98"/>
      <c r="X21" s="99"/>
      <c r="Y21" s="100"/>
    </row>
    <row r="22" spans="4:25" ht="15" thickBot="1" x14ac:dyDescent="0.35">
      <c r="D22" s="55"/>
      <c r="E22" s="111" t="s">
        <v>71</v>
      </c>
      <c r="F22" s="119"/>
      <c r="G22" s="119"/>
      <c r="H22" s="119"/>
      <c r="I22" s="119"/>
      <c r="J22" s="119"/>
      <c r="K22" s="119"/>
      <c r="L22" s="112"/>
      <c r="N22" s="111" t="s">
        <v>72</v>
      </c>
      <c r="O22" s="119"/>
      <c r="P22" s="119"/>
      <c r="Q22" s="119"/>
      <c r="R22" s="119"/>
      <c r="S22" s="119"/>
      <c r="T22" s="119"/>
      <c r="U22" s="112"/>
      <c r="V22" s="36"/>
      <c r="W22" s="98"/>
      <c r="X22" s="99"/>
      <c r="Y22" s="100"/>
    </row>
    <row r="23" spans="4:25" ht="15" thickBot="1" x14ac:dyDescent="0.35">
      <c r="D23" s="55"/>
      <c r="E23" s="124">
        <f>'Resumo Detalhado'!N2</f>
        <v>35.355200000001105</v>
      </c>
      <c r="F23" s="116"/>
      <c r="G23" s="116"/>
      <c r="H23" s="116"/>
      <c r="I23" s="116"/>
      <c r="J23" s="116"/>
      <c r="K23" s="116"/>
      <c r="L23" s="125"/>
      <c r="M23" s="38"/>
      <c r="N23" s="104">
        <f>E23/E3</f>
        <v>2.0560955283737891E-3</v>
      </c>
      <c r="O23" s="105"/>
      <c r="P23" s="105"/>
      <c r="Q23" s="105"/>
      <c r="R23" s="105"/>
      <c r="S23" s="105"/>
      <c r="T23" s="105"/>
      <c r="U23" s="106"/>
      <c r="V23" s="36"/>
      <c r="W23" s="101"/>
      <c r="X23" s="102"/>
      <c r="Y23" s="103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3.1093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9.6640625" style="4" bestFit="1" customWidth="1"/>
    <col min="10" max="10" width="9.77734375" bestFit="1" customWidth="1"/>
    <col min="11" max="12" width="12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598</v>
      </c>
      <c r="F1" s="29"/>
    </row>
    <row r="2" spans="1:18" x14ac:dyDescent="0.3">
      <c r="B2" s="29">
        <f>SUM(B6:B5000)</f>
        <v>17195.310000000001</v>
      </c>
      <c r="C2" s="29">
        <f>SUM(C6:C5000)</f>
        <v>3561</v>
      </c>
      <c r="D2" s="29">
        <f>SUM(D6:D5000)</f>
        <v>300</v>
      </c>
      <c r="E2" s="29">
        <f>SUM(E6:E5000)</f>
        <v>14200</v>
      </c>
      <c r="F2" s="29">
        <f>SUM(F6:F5000)</f>
        <v>0</v>
      </c>
      <c r="G2" s="29"/>
      <c r="H2" s="29">
        <f t="shared" ref="H2:P2" si="0">SUM(H6:H5000)</f>
        <v>1203.67</v>
      </c>
      <c r="I2" s="29">
        <f t="shared" si="0"/>
        <v>80.66</v>
      </c>
      <c r="J2" s="29">
        <f t="shared" si="0"/>
        <v>0</v>
      </c>
      <c r="K2" s="29">
        <f t="shared" si="0"/>
        <v>1375.6248000000001</v>
      </c>
      <c r="L2" s="29">
        <f t="shared" si="0"/>
        <v>1375.6248000000001</v>
      </c>
      <c r="M2" s="29">
        <f t="shared" si="0"/>
        <v>0</v>
      </c>
      <c r="N2" s="29">
        <f t="shared" si="0"/>
        <v>35.355200000001105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88" t="s">
        <v>590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3148</v>
      </c>
      <c r="B6" s="140">
        <v>17195.310000000001</v>
      </c>
      <c r="C6" s="141">
        <v>3561</v>
      </c>
      <c r="D6" s="140">
        <v>300</v>
      </c>
      <c r="E6" s="140">
        <v>14200</v>
      </c>
      <c r="F6" s="140">
        <v>0</v>
      </c>
      <c r="G6" s="142">
        <v>0.84325318938710603</v>
      </c>
      <c r="H6" s="140">
        <v>1203.67</v>
      </c>
      <c r="I6" s="140">
        <v>80.66</v>
      </c>
      <c r="J6" s="140">
        <v>0</v>
      </c>
      <c r="K6" s="140">
        <v>1375.6248000000001</v>
      </c>
      <c r="L6" s="140">
        <v>1375.6248000000001</v>
      </c>
      <c r="M6" s="140">
        <v>0</v>
      </c>
      <c r="N6" s="140">
        <v>35.355200000001105</v>
      </c>
      <c r="O6" s="142">
        <v>2.0560955283737891E-3</v>
      </c>
      <c r="Q6"/>
    </row>
    <row r="7" spans="1:18" s="31" customFormat="1" x14ac:dyDescent="0.3">
      <c r="A7" s="9" t="s">
        <v>86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332031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598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88" t="s">
        <v>590</v>
      </c>
      <c r="B5" s="10">
        <v>17195.310000000001</v>
      </c>
      <c r="C5" s="10">
        <v>35.355200000001105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7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12000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2026-09-21T17:44:50Z</dcterms:modified>
  <cp:category/>
  <cp:contentStatus/>
</cp:coreProperties>
</file>