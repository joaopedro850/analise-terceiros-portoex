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F4ABC42-7A42-4D47-9FDD-E074492DB0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<sst xmlns="http://schemas.openxmlformats.org/spreadsheetml/2006/main" count="868" uniqueCount="599">
  <si>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</si>
  <si>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</si>
  <si>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</si>
  <si>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</si>
  <si>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</si>
  <si>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</si>
  <si>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</si>
  <si>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</si>
  <si>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</si>
  <si>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</si>
  <si>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</si>
  <si>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</si>
  <si>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</si>
  <si>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</si>
  <si>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</si>
  <si>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</si>
  <si>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</si>
  <si>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</si>
  <si>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</si>
  <si>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</si>
  <si>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</si>
  <si>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</si>
  <si>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</si>
  <si>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</si>
  <si>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</si>
  <si>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</si>
  <si>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</si>
  <si>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</si>
  <si>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</si>
  <si>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</si>
  <si>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</si>
  <si>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</si>
  <si>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</si>
  <si>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</si>
  <si>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</si>
  <si>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</si>
  <si>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</si>
  <si>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</si>
  <si>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</si>
  <si>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</si>
  <si>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</si>
  <si>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</si>
  <si>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</si>
  <si>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</si>
  <si>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</si>
  <si>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</si>
  <si>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</si>
  <si>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</si>
  <si>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</si>
  <si>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</si>
  <si>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</si>
  <si>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</si>
  <si>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</si>
  <si>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</si>
  <si>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</si>
  <si>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</si>
  <si>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</si>
  <si>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</si>
  <si>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</si>
  <si>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</si>
  <si>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</si>
  <si>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</si>
  <si>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</si>
  <si>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</si>
  <si>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</si>
  <si>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</si>
  <si>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</si>
  <si>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</si>
  <si>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</si>
  <si>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</si>
  <si>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</si>
  <si>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</si>
  <si>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</si>
  <si>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</si>
  <si>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</si>
  <si>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</si>
  <si>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</si>
  <si>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</si>
  <si>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</si>
  <si>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</si>
  <si>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</si>
  <si>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</si>
  <si>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</si>
  <si>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</si>
  <si>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</si>
  <si>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</si>
  <si>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</si>
  <si>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</si>
  <si>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</si>
  <si>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</si>
  <si>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</si>
  <si>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</si>
  <si>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</si>
  <si>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</si>
  <si>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</si>
  <si>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</si>
  <si>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</si>
  <si>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</si>
  <si>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</si>
  <si>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</si>
  <si>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</si>
  <si>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</si>
  <si>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</si>
  <si>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</si>
  <si>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</si>
  <si>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</si>
  <si>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</si>
  <si>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</si>
  <si>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</si>
  <si>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</si>
  <si>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</si>
  <si>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</si>
  <si>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</si>
  <si>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</si>
  <si>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</si>
  <si>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</si>
  <si>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</si>
  <si>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</si>
  <si>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</si>
  <si>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</si>
  <si>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</si>
  <si>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</si>
  <si>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</si>
  <si>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</si>
  <si>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</si>
  <si>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</si>
  <si>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</si>
  <si>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</si>
  <si>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</si>
  <si>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</si>
  <si>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</si>
  <si>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</si>
  <si>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</si>
  <si>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</si>
  <si>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</si>
  <si>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</si>
  <si>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</si>
  <si>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</si>
  <si>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</si>
  <si>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</si>
  <si>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</si>
  <si>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</si>
  <si>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</si>
  <si>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</si>
  <si>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</si>
  <si>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</si>
  <si>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</si>
  <si>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</si>
  <si>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</si>
  <si>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</si>
  <si>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</si>
  <si>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</si>
  <si>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</si>
  <si>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</si>
  <si>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</si>
  <si>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</si>
  <si>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</si>
  <si>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</si>
  <si>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</si>
  <si>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</si>
  <si>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</si>
  <si>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</si>
  <si>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</si>
  <si>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</si>
  <si>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</si>
  <si>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</si>
  <si>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</si>
  <si>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</si>
  <si>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</si>
  <si>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</si>
  <si>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</si>
  <si>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</si>
  <si>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</si>
  <si>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</si>
  <si>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</si>
  <si>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</si>
  <si>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</si>
  <si>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</si>
  <si>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</si>
  <si>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</si>
  <si>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</si>
  <si>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</si>
  <si>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</si>
  <si>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</si>
  <si>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</si>
  <si>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</si>
  <si>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</si>
  <si>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</si>
  <si>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</si>
  <si>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</si>
  <si>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</si>
  <si>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</si>
  <si>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</si>
  <si>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</si>
  <si>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</si>
  <si>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</si>
  <si>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</si>
  <si>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</si>
  <si>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</si>
  <si>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</si>
  <si>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</si>
  <si>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</si>
  <si>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</si>
  <si>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</si>
  <si>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</si>
  <si>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</si>
  <si>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</si>
  <si>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</si>
  <si>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</si>
  <si>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</si>
  <si>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</si>
  <si>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</si>
  <si>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</si>
  <si>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</si>
  <si>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</si>
  <si>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</si>
  <si>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</si>
  <si>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</si>
  <si>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</si>
  <si>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</si>
  <si>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</si>
  <si>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</si>
  <si>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</si>
  <si>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</si>
  <si>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</si>
  <si>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</si>
  <si>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</si>
  <si>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</si>
  <si>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</si>
  <si>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</si>
  <si>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</si>
  <si>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</si>
  <si>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</si>
  <si>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</si>
  <si>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</si>
  <si>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</si>
  <si>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</si>
  <si>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</si>
  <si>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</si>
  <si>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</si>
  <si>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</si>
  <si>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</si>
  <si>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</si>
  <si>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</si>
  <si>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</si>
  <si>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</si>
  <si>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</si>
  <si>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</si>
  <si>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</si>
  <si>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</si>
  <si>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</si>
  <si>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</si>
  <si>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</si>
  <si>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</si>
  <si>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</si>
  <si>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</si>
  <si>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</si>
  <si>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</si>
  <si>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</si>
  <si>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</si>
  <si>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</si>
  <si>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</si>
  <si>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</si>
  <si>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</si>
  <si>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</si>
  <si>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</si>
  <si>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</si>
  <si>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</si>
  <si>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</si>
  <si>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</si>
  <si>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</si>
  <si>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</si>
  <si>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</si>
  <si>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</si>
  <si>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</si>
  <si>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</si>
  <si>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</si>
  <si>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</si>
  <si>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</si>
  <si>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</si>
  <si>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</si>
  <si>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</si>
  <si>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</si>
  <si>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</si>
  <si>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</si>
  <si>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</si>
  <si>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</si>
  <si>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</si>
  <si>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</si>
  <si>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</si>
  <si>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</si>
  <si>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</si>
  <si>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</si>
  <si>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</si>
  <si>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</si>
  <si>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</si>
  <si>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</si>
  <si>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</si>
  <si>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</si>
  <si>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</si>
  <si>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</si>
  <si>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</si>
  <si>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</si>
  <si>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</si>
  <si>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</si>
  <si>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</si>
  <si>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</si>
  <si>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</si>
  <si>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</si>
  <si>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</si>
  <si>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</si>
  <si>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</si>
  <si>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</si>
  <si>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</si>
  <si>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</si>
  <si>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</si>
  <si>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</si>
  <si>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</si>
  <si>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</si>
  <si>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</si>
  <si>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</si>
  <si>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</si>
  <si>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</si>
  <si>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</si>
  <si>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</si>
  <si>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</si>
  <si>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</si>
  <si>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</si>
  <si>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</si>
  <si>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</si>
  <si>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</si>
  <si>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</si>
  <si>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</si>
  <si>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</si>
  <si>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</si>
  <si>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</si>
  <si>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</si>
  <si>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</si>
  <si>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</si>
  <si>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</si>
  <si>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</si>
  <si>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</si>
  <si>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</si>
  <si>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</si>
  <si>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</si>
  <si>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</si>
  <si>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</si>
  <si>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</si>
  <si>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</si>
  <si>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</si>
  <si>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</si>
  <si>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</si>
  <si>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</si>
  <si>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</si>
  <si>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</si>
  <si>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</si>
  <si>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</si>
  <si>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</si>
  <si>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</si>
  <si>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</si>
  <si>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</si>
  <si>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</si>
  <si>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</si>
  <si>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</si>
  <si>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</si>
  <si>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</si>
  <si>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</si>
  <si>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</si>
  <si>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</si>
  <si>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</si>
  <si>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</si>
  <si>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</si>
  <si>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</si>
  <si>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</si>
  <si>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</si>
  <si>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</si>
  <si>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</si>
  <si>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</si>
  <si>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</si>
  <si>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</si>
  <si>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</si>
  <si>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</si>
  <si>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</si>
  <si>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</si>
  <si>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</si>
  <si>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</si>
  <si>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</si>
  <si>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</si>
  <si>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</si>
  <si>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</si>
  <si>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</si>
  <si>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</si>
  <si>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</si>
  <si>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</si>
  <si>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</si>
  <si>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</si>
  <si>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</si>
  <si>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</si>
  <si>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</si>
  <si>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</si>
  <si>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</si>
  <si>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</si>
  <si>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</si>
  <si>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</si>
  <si>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</si>
  <si>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</si>
  <si>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</si>
  <si>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</si>
  <si>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</si>
  <si>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</si>
  <si>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</si>
  <si>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</si>
  <si>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</si>
  <si>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</si>
  <si>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</si>
  <si>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</si>
  <si>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</si>
  <si>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</si>
  <si>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</si>
  <si>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</si>
  <si>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</si>
  <si>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</si>
  <si>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</si>
  <si>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</si>
  <si>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</si>
  <si>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</si>
  <si>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</si>
  <si>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</si>
  <si>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</si>
  <si>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</si>
  <si>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</si>
  <si>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</si>
  <si>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</si>
  <si>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</si>
  <si>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</si>
  <si>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</si>
  <si>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</si>
  <si>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</si>
  <si>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</si>
  <si>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</si>
  <si>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</si>
  <si>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</si>
  <si>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</si>
  <si>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</si>
  <si>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</si>
  <si>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</si>
  <si>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</si>
  <si>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</si>
  <si>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</si>
  <si>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</si>
  <si>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</si>
  <si>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</si>
  <si>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</si>
  <si>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</si>
  <si>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</si>
  <si>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</si>
  <si>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</si>
  <si>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</si>
  <si>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</si>
  <si>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</si>
  <si>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</si>
  <si>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</si>
  <si>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</si>
  <si>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</si>
  <si>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</si>
  <si>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</si>
  <si>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</si>
  <si>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</si>
  <si>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</si>
  <si>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</si>
  <si>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</si>
  <si>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</si>
  <si>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</si>
  <si>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</si>
  <si>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</si>
  <si>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</si>
  <si>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</si>
  <si>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</si>
  <si>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</si>
  <si>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</si>
  <si>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</si>
  <si>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</si>
  <si>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</si>
  <si>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</si>
  <si>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</si>
  <si>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</si>
  <si>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</si>
  <si>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</si>
  <si>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</si>
  <si>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</si>
  <si>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</si>
  <si>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</si>
  <si>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</si>
  <si>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</si>
  <si>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</si>
  <si>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</si>
  <si>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</si>
  <si>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</si>
  <si>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</si>
  <si>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</si>
  <si>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</si>
  <si>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</si>
  <si>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</si>
  <si>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</si>
  <si>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</si>
  <si>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</si>
  <si>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</si>
  <si>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</si>
  <si>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</si>
  <si>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</si>
  <si>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</si>
  <si>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</si>
  <si>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</si>
  <si>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</si>
  <si>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</si>
  <si>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</si>
  <si>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</si>
  <si>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</si>
  <si>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</si>
  <si>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</si>
  <si>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</si>
  <si>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</si>
  <si>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</si>
  <si>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</si>
  <si>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</si>
  <si>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</si>
  <si>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</si>
  <si>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</si>
  <si>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</si>
  <si>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</si>
  <si>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</si>
  <si>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</si>
  <si>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</si>
  <si>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</si>
  <si>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</si>
  <si>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</si>
  <si>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</si>
  <si>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</si>
  <si>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</si>
  <si>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</si>
  <si>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</si>
  <si>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</si>
  <si>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</si>
  <si>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</si>
  <si>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</si>
  <si>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</si>
  <si>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</si>
  <si>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</si>
  <si>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</si>
  <si>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</si>
  <si>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</si>
  <si>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</si>
  <si>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</si>
  <si>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</si>
  <si>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</si>
  <si>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</si>
  <si>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</si>
  <si>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</si>
  <si>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</si>
  <si>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</si>
  <si>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</si>
  <si>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</si>
  <si>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</si>
  <si>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</si>
  <si>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</si>
  <si>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</si>
  <si>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</si>
  <si>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</si>
  <si>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</si>
  <si>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</si>
  <si>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</si>
  <si>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</si>
  <si>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</si>
  <si>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</si>
  <si>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</si>
  <si>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</si>
  <si>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</si>
  <si>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</si>
  <si>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</si>
  <si>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</si>
  <si>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</si>
  <si>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</si>
  <si>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</si>
  <si>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</si>
  <si>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</si>
  <si>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</si>
  <si>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</si>
  <si>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</si>
  <si>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MATRIZ</t>
  </si>
  <si>
    <t>3047-1</t>
  </si>
  <si>
    <t>AC COMERCIAL IM</t>
  </si>
  <si>
    <t>TIAGO SANTANA</t>
  </si>
  <si>
    <t>PERSONALIZADO</t>
  </si>
  <si>
    <t>CTE NORMAL</t>
  </si>
  <si>
    <t>SALVADOR - BA</t>
  </si>
  <si>
    <t>HELTON JOHN DA SILVA</t>
  </si>
  <si>
    <t>ADRIANA VILMA DA CRUZ BEZ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</si>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</sst>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[Analise_WILLIAN_16092026.xlsx]Resumo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17195.310000000001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35.355200000001105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[Analise_WILLIAN_16092026.xlsx]Resumo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17195.310000000001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35.355200000001105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6.41233437500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4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1645.24" maxValue="201645.24"/>
    </cacheField>
    <cacheField name="SERVICO" numFmtId="0">
      <sharedItems containsBlank="1" count="27"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195.310000000001" maxValue="17195.310000000001"/>
    </cacheField>
    <cacheField name="VOLUMES" numFmtId="0">
      <sharedItems containsString="0" containsBlank="1" containsNumber="1" containsInteger="1" minValue="10" maxValue="10"/>
    </cacheField>
    <cacheField name="PESO" numFmtId="0">
      <sharedItems containsString="0" containsBlank="1" containsNumber="1" containsInteger="1" minValue="3561" maxValue="3561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300" maxValue="30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4200" maxValue="14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03.67" maxValue="1203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80.66" maxValue="80.6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784.33" maxValue="15784.33"/>
    </cacheField>
    <cacheField name="RECEITA" numFmtId="0">
      <sharedItems containsString="0" containsBlank="1" containsNumber="1" minValue="1410.98" maxValue="1410.98"/>
    </cacheField>
    <cacheField name="IMPOSTO" numFmtId="0">
      <sharedItems containsString="0" containsBlank="1" containsNumber="1" minValue="2751.25" maxValue="2751.25"/>
    </cacheField>
    <cacheField name="RESULTADO" numFmtId="0">
      <sharedItems containsString="0" containsBlank="1" containsNumber="1" minValue="-1500.19" maxValue="-1500.1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500.19" maxValue="-1500.19"/>
    </cacheField>
    <cacheField name="MARGEM" numFmtId="10">
      <sharedItems containsString="0" containsBlank="1" containsNumber="1" minValue="-8.72E-2" maxValue="-8.7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5T00:00:00"/>
    <d v="2026-09-15T00:00:00"/>
    <m/>
    <s v="3047-1"/>
    <x v="0"/>
    <s v="TIAGO SANTANA"/>
    <n v="201645.24"/>
    <x v="0"/>
    <s v="CTE NORMAL"/>
    <s v="SALVADOR - BA"/>
    <n v="17195.310000000001"/>
    <n v="10"/>
    <n v="3561"/>
    <s v="HELTON JOHN DA SILVA"/>
    <n v="300"/>
    <s v="ADRIANA VILMA DA CRUZ BEZ"/>
    <n v="14200"/>
    <s v="INDEFINIDO"/>
    <n v="0"/>
    <n v="1203.67"/>
    <n v="0"/>
    <n v="0"/>
    <n v="80.66"/>
    <n v="0"/>
    <n v="15784.33"/>
    <n v="1410.98"/>
    <n v="2751.25"/>
    <n v="-1500.19"/>
    <n v="0"/>
    <n v="-1500.19"/>
    <n v="-8.72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7" s="1" nd="1"/>
        <i x="20" s="1" nd="1"/>
        <i x="2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4" totalsRowShown="0" headerRowDxfId="92" dataDxfId="90" headerRowBorderDxfId="91" tableBorderDxfId="89" totalsRowBorderDxfId="88">
  <autoFilter ref="A1:D37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3148</v>
      </c>
      <c r="B2" s="12" t="s">
        <v>588</v>
      </c>
      <c r="C2" s="14">
        <v>46280</v>
      </c>
      <c r="D2" s="14">
        <v>46280</v>
      </c>
      <c r="E2" s="12"/>
      <c r="F2" s="15" t="s">
        <v>589</v>
      </c>
      <c r="G2" s="15" t="s">
        <v>590</v>
      </c>
      <c r="H2" s="15" t="s">
        <v>591</v>
      </c>
      <c r="I2" s="16">
        <v>201645.24</v>
      </c>
      <c r="J2" s="15" t="s">
        <v>592</v>
      </c>
      <c r="K2" s="15" t="s">
        <v>593</v>
      </c>
      <c r="L2" s="15" t="s">
        <v>594</v>
      </c>
      <c r="M2" s="15">
        <v>17195.310000000001</v>
      </c>
      <c r="N2" s="15">
        <v>10</v>
      </c>
      <c r="O2" s="16">
        <v>3561</v>
      </c>
      <c r="P2" s="15" t="s">
        <v>595</v>
      </c>
      <c r="Q2" s="15">
        <v>300</v>
      </c>
      <c r="R2" s="15" t="s">
        <v>596</v>
      </c>
      <c r="S2" s="15">
        <v>14200</v>
      </c>
      <c r="T2" s="15" t="s">
        <v>597</v>
      </c>
      <c r="U2" s="15">
        <v>0</v>
      </c>
      <c r="V2" s="15">
        <v>1203.67</v>
      </c>
      <c r="W2" s="15">
        <v>0</v>
      </c>
      <c r="X2" s="15">
        <v>0</v>
      </c>
      <c r="Y2" s="15">
        <v>80.66</v>
      </c>
      <c r="Z2" s="15">
        <v>0</v>
      </c>
      <c r="AA2" s="15">
        <v>15784.33</v>
      </c>
      <c r="AB2" s="15">
        <v>1410.98</v>
      </c>
      <c r="AC2" s="15">
        <v>2751.25</v>
      </c>
      <c r="AD2" s="15">
        <v>-1500.19</v>
      </c>
      <c r="AE2" s="15">
        <v>0</v>
      </c>
      <c r="AF2" s="15">
        <v>-1500.19</v>
      </c>
      <c r="AG2" s="17">
        <v>-8.72E-2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17195.310000000001</v>
      </c>
      <c r="F3" s="93"/>
      <c r="G3" s="94"/>
      <c r="H3" s="95">
        <f>'Resumo Detalhado'!C2</f>
        <v>3561</v>
      </c>
      <c r="I3" s="96"/>
      <c r="J3" s="97">
        <f>E3/H3</f>
        <v>4.8287868576242632</v>
      </c>
      <c r="K3" s="98"/>
      <c r="L3" s="99"/>
      <c r="M3" s="138" t="s">
        <v>60</v>
      </c>
      <c r="N3" s="93"/>
      <c r="O3" s="94"/>
      <c r="P3" s="135">
        <v>6000</v>
      </c>
      <c r="Q3" s="136"/>
      <c r="R3" s="137"/>
      <c r="S3" s="103">
        <f>MIN(H3/P3,1)</f>
        <v>0.59350000000000003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14500</v>
      </c>
      <c r="F7" s="109"/>
      <c r="G7" s="109"/>
      <c r="H7" s="109"/>
      <c r="I7" s="109"/>
      <c r="J7" s="109">
        <f>E7/H3</f>
        <v>4.0718899185622019</v>
      </c>
      <c r="K7" s="109"/>
      <c r="L7" s="109"/>
      <c r="M7" s="110">
        <f>E7/E3</f>
        <v>0.84325318938710603</v>
      </c>
      <c r="N7" s="110"/>
      <c r="O7" s="110"/>
      <c r="P7" s="109">
        <f>E11+K11+Q11+E15+K15+Q15+E19+H19+K19</f>
        <v>19911.204400000002</v>
      </c>
      <c r="Q7" s="109"/>
      <c r="R7" s="109"/>
      <c r="S7" s="109">
        <f>P7/H3</f>
        <v>5.5914643077787147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14200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14200</v>
      </c>
      <c r="L11" s="94"/>
      <c r="M11" s="38"/>
      <c r="N11" s="92">
        <f>K11/H3</f>
        <v>3.9876439202471214</v>
      </c>
      <c r="O11" s="94"/>
      <c r="P11" s="38"/>
      <c r="Q11" s="92">
        <f>'Resumo Detalhado'!D2</f>
        <v>300</v>
      </c>
      <c r="R11" s="94"/>
      <c r="S11" s="38"/>
      <c r="T11" s="92">
        <f>Q11/H3</f>
        <v>8.4245998315080034E-2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1203.67</v>
      </c>
      <c r="F15" s="113"/>
      <c r="G15" s="113"/>
      <c r="H15" s="113"/>
      <c r="I15" s="114"/>
      <c r="J15" s="38"/>
      <c r="K15" s="116">
        <f>'Resumo Detalhado'!K2+'Resumo Detalhado'!L2</f>
        <v>2751.2496000000001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80.66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1375.6248000000001</v>
      </c>
      <c r="L19" s="108"/>
      <c r="M19" s="38"/>
      <c r="N19" s="112" t="s">
        <v>585</v>
      </c>
      <c r="O19" s="113"/>
      <c r="P19" s="113"/>
      <c r="Q19" s="113"/>
      <c r="R19" s="119"/>
      <c r="S19" s="112">
        <f>_xlfn.XLOOKUP(N19,Target!C:C,Target!D:D)</f>
        <v>12000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35.355200000001105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2.0560955283737891E-3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3.1093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598</v>
      </c>
      <c r="F1" s="29"/>
    </row>
    <row r="2" spans="1:18" x14ac:dyDescent="0.3">
      <c r="B2" s="29">
        <f>SUM(B6:B5000)</f>
        <v>17195.310000000001</v>
      </c>
      <c r="C2" s="29">
        <f>SUM(C6:C5000)</f>
        <v>3561</v>
      </c>
      <c r="D2" s="29">
        <f>SUM(D6:D5000)</f>
        <v>300</v>
      </c>
      <c r="E2" s="29">
        <f>SUM(E6:E5000)</f>
        <v>14200</v>
      </c>
      <c r="F2" s="29">
        <f>SUM(F6:F5000)</f>
        <v>0</v>
      </c>
      <c r="G2" s="29"/>
      <c r="H2" s="29">
        <f t="shared" ref="H2:P2" si="0">SUM(H6:H5000)</f>
        <v>1203.67</v>
      </c>
      <c r="I2" s="29">
        <f t="shared" si="0"/>
        <v>80.66</v>
      </c>
      <c r="J2" s="29">
        <f t="shared" si="0"/>
        <v>0</v>
      </c>
      <c r="K2" s="29">
        <f t="shared" si="0"/>
        <v>1375.6248000000001</v>
      </c>
      <c r="L2" s="29">
        <f t="shared" si="0"/>
        <v>1375.6248000000001</v>
      </c>
      <c r="M2" s="29">
        <f t="shared" si="0"/>
        <v>0</v>
      </c>
      <c r="N2" s="29">
        <f t="shared" si="0"/>
        <v>35.355200000001105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3148</v>
      </c>
      <c r="B6" s="140">
        <v>17195.310000000001</v>
      </c>
      <c r="C6" s="141">
        <v>3561</v>
      </c>
      <c r="D6" s="140">
        <v>300</v>
      </c>
      <c r="E6" s="140">
        <v>14200</v>
      </c>
      <c r="F6" s="140">
        <v>0</v>
      </c>
      <c r="G6" s="142">
        <v>0.84325318938710603</v>
      </c>
      <c r="H6" s="140">
        <v>1203.67</v>
      </c>
      <c r="I6" s="140">
        <v>80.66</v>
      </c>
      <c r="J6" s="140">
        <v>0</v>
      </c>
      <c r="K6" s="140">
        <v>1375.6248000000001</v>
      </c>
      <c r="L6" s="140">
        <v>1375.6248000000001</v>
      </c>
      <c r="M6" s="140">
        <v>0</v>
      </c>
      <c r="N6" s="140">
        <v>35.355200000001105</v>
      </c>
      <c r="O6" s="142">
        <v>2.0560955283737891E-3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590</v>
      </c>
      <c r="B5" s="10">
        <v>17195.310000000001</v>
      </c>
      <c r="C5" s="10">
        <v>35.355200000001105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12000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2026-09-21T12:53:53Z</dcterms:modified>
  <cp:category/>
  <cp:contentStatus/>
</cp:coreProperties>
</file>